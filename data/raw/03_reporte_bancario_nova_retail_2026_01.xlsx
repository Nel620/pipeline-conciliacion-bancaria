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f255f3c55349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acciones" sheetId="1" r:id="R4ee6371339a4480f"/>
    <x:sheet xmlns:r="http://schemas.openxmlformats.org/officeDocument/2006/relationships" name="Info" sheetId="2" r:id="R81f7434283b849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&quot;$&quot;#,##0.00"/>
    <x:numFmt numFmtId="202" formatCode="#,##0"/>
  </x:numFmts>
  <x:fonts count="3">
    <x:font>
      <x:sz val="11"/>
      <x:name val="Carlito"/>
    </x:font>
    <x:font>
      <x:b/>
      <x:sz val="11"/>
      <x:color rgb="FF17324D"/>
      <x:name val="Carlito"/>
    </x:font>
    <x:font>
      <x:b/>
      <x:sz val="10"/>
      <x:color rgb="FF17324D"/>
      <x:name val="Aptos"/>
    </x:font>
  </x:fonts>
  <x:fills count="2">
    <x:fill>
      <x:patternFill patternType="none"/>
    </x:fill>
    <x:fill>
      <x:patternFill patternType="gray125"/>
    </x:fill>
  </x:fills>
  <x:borders count="4">
    <x:border/>
    <x:border>
      <x:bottom style="thin">
        <x:color rgb="FFE6EDF3"/>
      </x:bottom>
    </x:border>
    <x:border>
      <x:top style="thin">
        <x:color rgb="FFE6EDF3"/>
      </x:top>
      <x:bottom style="thin">
        <x:color rgb="FFE6EDF3"/>
      </x:bottom>
    </x:border>
    <x:border>
      <x:top style="thin">
        <x:color rgb="FFE6EDF3"/>
      </x:top>
      <x:bottom style="thin">
        <x:color rgb="FFB7C6D7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200" fontId="0" fillId="0" borderId="2" xfId="0" applyNumberFormat="1" applyFont="1" applyFill="1" applyBorder="1"/>
    <x:xf numFmtId="200" fontId="0" fillId="0" borderId="3" xfId="0" applyNumberFormat="1" applyFont="1" applyFill="1" applyBorder="1"/>
    <x:xf numFmtId="201" fontId="0" fillId="0" borderId="2" xfId="0" applyNumberFormat="1" applyFont="1" applyFill="1" applyBorder="1"/>
    <x:xf numFmtId="201" fontId="0" fillId="0" borderId="3" xfId="0" applyNumberFormat="1" applyFont="1" applyFill="1" applyBorder="1"/>
    <x:xf numFmtId="202" fontId="0" fillId="0" borderId="2" xfId="0" applyNumberFormat="1" applyFont="1" applyFill="1" applyBorder="1"/>
    <x:xf numFmtId="202" fontId="0" fillId="0" borderId="3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848d538a0a4498" /><Relationship Type="http://schemas.openxmlformats.org/officeDocument/2006/relationships/theme" Target="/xl/theme/theme1.xml" Id="Rea3adf106946452c" /><Relationship Type="http://schemas.openxmlformats.org/officeDocument/2006/relationships/sharedStrings" Target="/xl/sharedStrings.xml" Id="Rfca6e2edad3f409a" /><Relationship Type="http://schemas.openxmlformats.org/officeDocument/2006/relationships/worksheet" Target="/xl/worksheets/sheet1.xml" Id="R4ee6371339a4480f" /><Relationship Type="http://schemas.openxmlformats.org/officeDocument/2006/relationships/worksheet" Target="/xl/worksheets/sheet2.xml" Id="R81f7434283b849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779999732971191" hidden="0" customWidth="1"/>
    <x:col min="2" max="2" width="11.5600004196167" hidden="0" customWidth="1"/>
    <x:col min="3" max="3" width="10.670000076293945" hidden="0" customWidth="1"/>
    <x:col min="4" max="4" width="8.220000267028809" hidden="0" customWidth="1"/>
    <x:col min="5" max="5" width="13.890000343322754" hidden="0" customWidth="1"/>
    <x:col min="6" max="6" width="11.4399995803833" hidden="0" customWidth="1"/>
    <x:col min="7" max="7" width="10.779999732971191" hidden="0" customWidth="1"/>
    <x:col min="8" max="8" width="11.4399995803833" hidden="0" customWidth="1"/>
    <x:col min="9" max="9" width="14.329999923706055" hidden="0" customWidth="1"/>
    <x:col min="10" max="10" width="14.890000343322754" hidden="0" customWidth="1"/>
    <x:col min="11" max="11" width="17.219999313354492" hidden="0" customWidth="1"/>
    <x:col min="12" max="12" width="5.889999866485596" hidden="0" customWidth="1"/>
    <x:col min="13" max="13" width="11.5600004196167" hidden="0" customWidth="1"/>
    <x:col min="14" max="14" width="10.220000267028809" hidden="0" customWidth="1"/>
    <x:col min="15" max="15" width="11.5600004196167" hidden="0" customWidth="1"/>
    <x:col min="16" max="16" width="14" hidden="0" customWidth="1"/>
    <x:col min="17" max="17" width="11.329999923706055" hidden="0" customWidth="1"/>
    <x:col min="18" max="18" width="5.78000020980835" hidden="0" customWidth="1"/>
    <x:col min="19" max="19" width="7.559999942779541" hidden="0" customWidth="1"/>
    <x:col min="20" max="20" width="9.329999923706055" hidden="0" customWidth="1"/>
    <x:col min="21" max="21" width="13.670000076293945" hidden="0" customWidth="1"/>
    <x:col min="22" max="22" width="12.890000343322754" hidden="0" customWidth="1"/>
    <x:col min="23" max="23" width="7.329999923706055" hidden="0" customWidth="1"/>
    <x:col min="24" max="24" width="8.329999923706055" hidden="0" customWidth="1"/>
    <x:col min="25" max="25" width="13.890000343322754" hidden="0" customWidth="1"/>
    <x:col min="26" max="26" width="28" hidden="0" customWidth="1"/>
    <x:col min="27" max="27" width="28" hidden="0" customWidth="1"/>
    <x:col min="28" max="28" width="28" hidden="0" customWidth="1"/>
  </x:cols>
  <x:sheetData>
    <x:row r="1" ht="24" customHeight="1">
      <x:c r="A1" s="11" t="str">
        <x:v>transaccion_id</x:v>
      </x:c>
      <x:c r="B1" s="11" t="str">
        <x:v>fecha_operacion</x:v>
      </x:c>
      <x:c r="C1" s="11" t="str">
        <x:v>fecha_contable</x:v>
      </x:c>
      <x:c r="D1" s="11" t="str">
        <x:v>empresa_id</x:v>
      </x:c>
      <x:c r="E1" s="11" t="str">
        <x:v>empresa</x:v>
      </x:c>
      <x:c r="F1" s="11" t="str">
        <x:v>cuenta_bancaria</x:v>
      </x:c>
      <x:c r="G1" s="11" t="str">
        <x:v>banco</x:v>
      </x:c>
      <x:c r="H1" s="11" t="str">
        <x:v>tipo_movimiento</x:v>
      </x:c>
      <x:c r="I1" s="11" t="str">
        <x:v>categoria</x:v>
      </x:c>
      <x:c r="J1" s="11" t="str">
        <x:v>proveedor_cliente</x:v>
      </x:c>
      <x:c r="K1" s="11" t="str">
        <x:v>documento_ref</x:v>
      </x:c>
      <x:c r="L1" s="11" t="str">
        <x:v>moneda</x:v>
      </x:c>
      <x:c r="M1" s="11" t="str">
        <x:v>valor_bruto</x:v>
      </x:c>
      <x:c r="N1" s="11" t="str">
        <x:v>impuesto_iva</x:v>
      </x:c>
      <x:c r="O1" s="11" t="str">
        <x:v>valor_neto</x:v>
      </x:c>
      <x:c r="P1" s="11" t="str">
        <x:v>metodo_pago</x:v>
      </x:c>
      <x:c r="Q1" s="11" t="str">
        <x:v>centro_costo</x:v>
      </x:c>
      <x:c r="R1" s="11" t="str">
        <x:v>ciudad</x:v>
      </x:c>
      <x:c r="S1" s="11" t="str">
        <x:v>pais</x:v>
      </x:c>
      <x:c r="T1" s="11" t="str">
        <x:v>responsable</x:v>
      </x:c>
      <x:c r="U1" s="11" t="str">
        <x:v>estado_conciliacion</x:v>
      </x:c>
      <x:c r="V1" s="11" t="str">
        <x:v>fecha_vencimiento</x:v>
      </x:c>
      <x:c r="W1" s="11" t="str">
        <x:v>dias_mora</x:v>
      </x:c>
      <x:c r="X1" s="11" t="str">
        <x:v>nivel_riesgo</x:v>
      </x:c>
      <x:c r="Y1" s="11" t="str">
        <x:v>canal</x:v>
      </x:c>
      <x:c r="Z1" s="12" t="str">
        <x:v>observaciones</x:v>
      </x:c>
      <x:c r="AA1" s="12" t="str">
        <x:v>requiere_revision</x:v>
      </x:c>
      <x:c r="AB1" s="12" t="str">
        <x:v>motivo_revision</x:v>
      </x:c>
    </x:row>
    <x:row r="2">
      <x:c r="A2" s="3" t="str">
        <x:v>NOVA-TRX-0027</x:v>
      </x:c>
      <x:c r="B2" s="5" t="n">
        <x:v>46023</x:v>
      </x:c>
      <x:c r="C2" s="5" t="n">
        <x:v>46023</x:v>
      </x:c>
      <x:c r="D2" s="3" t="str">
        <x:v>EMP-101</x:v>
      </x:c>
      <x:c r="E2" s="3" t="str">
        <x:v>Nova Retail S.A.S.</x:v>
      </x:c>
      <x:c r="F2" s="3" t="str">
        <x:v>1101-884422</x:v>
      </x:c>
      <x:c r="G2" s="3" t="str">
        <x:v>Banco Capital</x:v>
      </x:c>
      <x:c r="H2" s="3" t="str">
        <x:v>Egreso</x:v>
      </x:c>
      <x:c r="I2" s="3" t="str">
        <x:v>Servicios publicos</x:v>
      </x:c>
      <x:c r="J2" s="3" t="str">
        <x:v>Cliente Express</x:v>
      </x:c>
      <x:c r="K2" s="3" t="str">
        <x:v>PAG-NOVA-20260027</x:v>
      </x:c>
      <x:c r="L2" s="3" t="str">
        <x:v>COP</x:v>
      </x:c>
      <x:c r="M2" s="7" t="n">
        <x:v>-1851267</x:v>
      </x:c>
      <x:c r="N2" s="7" t="n">
        <x:v>-351740.73</x:v>
      </x:c>
      <x:c r="O2" s="7" t="n">
        <x:v>-2203007.73</x:v>
      </x:c>
      <x:c r="P2" s="3" t="str">
        <x:v>Tarjeta credito</x:v>
      </x:c>
      <x:c r="Q2" s="3" t="str">
        <x:v>Finanzas</x:v>
      </x:c>
      <x:c r="R2" s="3" t="str">
        <x:v>Bogota</x:v>
      </x:c>
      <x:c r="S2" s="3" t="str">
        <x:v>Colombia</x:v>
      </x:c>
      <x:c r="T2" s="3" t="str">
        <x:v>Ana Ruiz</x:v>
      </x:c>
      <x:c r="U2" s="3" t="str">
        <x:v>Conciliado</x:v>
      </x:c>
      <x:c r="V2" s="5" t="n">
        <x:v>46036</x:v>
      </x:c>
      <x:c r="W2" s="9" t="n">
        <x:v>0</x:v>
      </x:c>
      <x:c r="X2" s="3" t="str">
        <x:v>Bajo</x:v>
      </x:c>
      <x:c r="Y2" s="3" t="str">
        <x:v>Tarjeta</x:v>
      </x:c>
      <x:c r="Z2" s="3" t="str"/>
      <x:c r="AA2" s="3" t="str">
        <x:v>No</x:v>
      </x:c>
      <x:c r="AB2" s="3" t="str"/>
    </x:row>
    <x:row r="3">
      <x:c r="A3" s="3" t="str">
        <x:v>NOVA-TRX-0054</x:v>
      </x:c>
      <x:c r="B3" s="5" t="n">
        <x:v>46023</x:v>
      </x:c>
      <x:c r="C3" s="5" t="n">
        <x:v>46025</x:v>
      </x:c>
      <x:c r="D3" s="3" t="str">
        <x:v>EMP-101</x:v>
      </x:c>
      <x:c r="E3" s="3" t="str">
        <x:v>Nova Retail S.A.S.</x:v>
      </x:c>
      <x:c r="F3" s="3" t="str">
        <x:v>1101-884422</x:v>
      </x:c>
      <x:c r="G3" s="3" t="str">
        <x:v>Banco Andino</x:v>
      </x:c>
      <x:c r="H3" s="3" t="str">
        <x:v>Egreso</x:v>
      </x:c>
      <x:c r="I3" s="3" t="str">
        <x:v>Comision bancaria</x:v>
      </x:c>
      <x:c r="J3" s="3" t="str">
        <x:v>Talento Humano</x:v>
      </x:c>
      <x:c r="K3" s="3" t="str">
        <x:v>PAG-NOVA-20260054</x:v>
      </x:c>
      <x:c r="L3" s="3" t="str">
        <x:v>COP</x:v>
      </x:c>
      <x:c r="M3" s="7" t="n">
        <x:v>-3582534</x:v>
      </x:c>
      <x:c r="N3" s="7" t="n">
        <x:v>0</x:v>
      </x:c>
      <x:c r="O3" s="7" t="n">
        <x:v>-3582534</x:v>
      </x:c>
      <x:c r="P3" s="3" t="str">
        <x:v>Debito automatico</x:v>
      </x:c>
      <x:c r="Q3" s="3" t="str">
        <x:v>Administracion</x:v>
      </x:c>
      <x:c r="R3" s="3" t="str">
        <x:v>Bogota</x:v>
      </x:c>
      <x:c r="S3" s="3" t="str">
        <x:v>Colombia</x:v>
      </x:c>
      <x:c r="T3" s="3" t="str">
        <x:v>Ana Ruiz</x:v>
      </x:c>
      <x:c r="U3" s="3" t="str">
        <x:v>Conciliado</x:v>
      </x:c>
      <x:c r="V3" s="5" t="n">
        <x:v>46027</x:v>
      </x:c>
      <x:c r="W3" s="9" t="n">
        <x:v>0</x:v>
      </x:c>
      <x:c r="X3" s="3" t="str">
        <x:v>Bajo</x:v>
      </x:c>
      <x:c r="Y3" s="3" t="str">
        <x:v>Portal bancario</x:v>
      </x:c>
      <x:c r="Z3" s="3" t="str"/>
      <x:c r="AA3" s="3" t="str">
        <x:v>No</x:v>
      </x:c>
      <x:c r="AB3" s="3" t="str"/>
    </x:row>
    <x:row r="4">
      <x:c r="A4" s="3" t="str">
        <x:v>NOVA-TRX-0070</x:v>
      </x:c>
      <x:c r="B4" s="5" t="n">
        <x:v>46023</x:v>
      </x:c>
      <x:c r="C4" s="5" t="n">
        <x:v>46023</x:v>
      </x:c>
      <x:c r="D4" s="3" t="str">
        <x:v>EMP-101</x:v>
      </x:c>
      <x:c r="E4" s="3" t="str">
        <x:v>Nova Retail S.A.S.</x:v>
      </x:c>
      <x:c r="F4" s="3" t="str">
        <x:v>1101-884422</x:v>
      </x:c>
      <x:c r="G4" s="3" t="str">
        <x:v>Banco Andino</x:v>
      </x:c>
      <x:c r="H4" s="3" t="str">
        <x:v>Ingreso</x:v>
      </x:c>
      <x:c r="I4" s="3" t="str">
        <x:v>Venta internacional</x:v>
      </x:c>
      <x:c r="J4" s="3" t="str">
        <x:v>Proveedor Alfa</x:v>
      </x:c>
      <x:c r="K4" s="3" t="str">
        <x:v>FAC-NOVA-20260070</x:v>
      </x:c>
      <x:c r="L4" s="3" t="str">
        <x:v>COP</x:v>
      </x:c>
      <x:c r="M4" s="7" t="n">
        <x:v>4608470</x:v>
      </x:c>
      <x:c r="N4" s="7" t="n">
        <x:v>0</x:v>
      </x:c>
      <x:c r="O4" s="7" t="n">
        <x:v>4608470</x:v>
      </x:c>
      <x:c r="P4" s="3" t="str">
        <x:v>ACH</x:v>
      </x:c>
      <x:c r="Q4" s="3" t="str">
        <x:v>Administracion</x:v>
      </x:c>
      <x:c r="R4" s="3" t="str">
        <x:v>Bogota</x:v>
      </x:c>
      <x:c r="S4" s="3" t="str">
        <x:v>Colombia</x:v>
      </x:c>
      <x:c r="T4" s="3" t="str">
        <x:v>Carlos Pena</x:v>
      </x:c>
      <x:c r="U4" s="3" t="str">
        <x:v>Conciliado</x:v>
      </x:c>
      <x:c r="V4" s="5" t="n">
        <x:v>46015</x:v>
      </x:c>
      <x:c r="W4" s="9" t="n">
        <x:v>0</x:v>
      </x:c>
      <x:c r="X4" s="3" t="str">
        <x:v>Bajo</x:v>
      </x:c>
      <x:c r="Y4" s="3" t="str">
        <x:v>Debito automatico</x:v>
      </x:c>
      <x:c r="Z4" s="3" t="str"/>
      <x:c r="AA4" s="3" t="str">
        <x:v>No</x:v>
      </x:c>
      <x:c r="AB4" s="3" t="str"/>
    </x:row>
    <x:row r="5">
      <x:c r="A5" s="3" t="str">
        <x:v>NOVA-TRX-0013</x:v>
      </x:c>
      <x:c r="B5" s="5" t="n">
        <x:v>46024</x:v>
      </x:c>
      <x:c r="C5" s="5" t="n">
        <x:v>46024</x:v>
      </x:c>
      <x:c r="D5" s="3" t="str">
        <x:v>EMP-101</x:v>
      </x:c>
      <x:c r="E5" s="3" t="str">
        <x:v>Nova Retail S.A.S.</x:v>
      </x:c>
      <x:c r="F5" s="3" t="str">
        <x:v>1101-884422</x:v>
      </x:c>
      <x:c r="G5" s="3" t="str">
        <x:v>Banco Capital</x:v>
      </x:c>
      <x:c r="H5" s="3" t="str">
        <x:v>Egreso</x:v>
      </x:c>
      <x:c r="I5" s="3" t="str">
        <x:v>Reembolso</x:v>
      </x:c>
      <x:c r="J5" s="3" t="str">
        <x:v>Energia Urbana</x:v>
      </x:c>
      <x:c r="K5" s="3" t="str">
        <x:v>PAG-NOVA-20260013</x:v>
      </x:c>
      <x:c r="L5" s="3" t="str">
        <x:v>COP</x:v>
      </x:c>
      <x:c r="M5" s="7" t="n">
        <x:v>-953573</x:v>
      </x:c>
      <x:c r="N5" s="7" t="n">
        <x:v>0</x:v>
      </x:c>
      <x:c r="O5" s="7" t="n">
        <x:v>-953573</x:v>
      </x:c>
      <x:c r="P5" s="3" t="str">
        <x:v>Cheque</x:v>
      </x:c>
      <x:c r="Q5" s="3" t="str">
        <x:v>Operaciones</x:v>
      </x:c>
      <x:c r="R5" s="3" t="str">
        <x:v>Bogota</x:v>
      </x:c>
      <x:c r="S5" s="3" t="str">
        <x:v>Colombia</x:v>
      </x:c>
      <x:c r="T5" s="3" t="str">
        <x:v>Carlos Pena</x:v>
      </x:c>
      <x:c r="U5" s="3" t="str">
        <x:v>Diferencia</x:v>
      </x:c>
      <x:c r="V5" s="5" t="n">
        <x:v>46025</x:v>
      </x:c>
      <x:c r="W5" s="9" t="n">
        <x:v>38</x:v>
      </x:c>
      <x:c r="X5" s="3" t="str">
        <x:v>Medio</x:v>
      </x:c>
      <x:c r="Y5" s="3" t="str">
        <x:v>PSE</x:v>
      </x:c>
      <x:c r="Z5" s="3" t="str"/>
      <x:c r="AA5" s="3" t="str">
        <x:v>Si</x:v>
      </x:c>
      <x:c r="AB5" s="3" t="str">
        <x:v>Conciliacion no cerrada</x:v>
      </x:c>
    </x:row>
    <x:row r="6">
      <x:c r="A6" s="3" t="str">
        <x:v>NOVA-TRX-0056</x:v>
      </x:c>
      <x:c r="B6" s="5" t="n">
        <x:v>46024</x:v>
      </x:c>
      <x:c r="C6" s="5" t="n">
        <x:v>46025</x:v>
      </x:c>
      <x:c r="D6" s="3" t="str">
        <x:v>EMP-101</x:v>
      </x:c>
      <x:c r="E6" s="3" t="str">
        <x:v>Nova Retail S.A.S.</x:v>
      </x:c>
      <x:c r="F6" s="3" t="str">
        <x:v>1101-884422</x:v>
      </x:c>
      <x:c r="G6" s="3" t="str">
        <x:v>Banco Andino</x:v>
      </x:c>
      <x:c r="H6" s="3" t="str">
        <x:v>Ingreso</x:v>
      </x:c>
      <x:c r="I6" s="3" t="str">
        <x:v>Credito bancario</x:v>
      </x:c>
      <x:c r="J6" s="3" t="str">
        <x:v>Financiera Sur</x:v>
      </x:c>
      <x:c r="K6" s="3" t="str">
        <x:v>FAC-NOVA-20260056</x:v>
      </x:c>
      <x:c r="L6" s="3" t="str">
        <x:v>COP</x:v>
      </x:c>
      <x:c r="M6" s="7" t="n">
        <x:v>3710776</x:v>
      </x:c>
      <x:c r="N6" s="7" t="n">
        <x:v>0</x:v>
      </x:c>
      <x:c r="O6" s="7" t="n">
        <x:v>3710776</x:v>
      </x:c>
      <x:c r="P6" s="3" t="str">
        <x:v>Transferencia local</x:v>
      </x:c>
      <x:c r="Q6" s="3" t="str">
        <x:v>Comercial</x:v>
      </x:c>
      <x:c r="R6" s="3" t="str">
        <x:v>Bogota</x:v>
      </x:c>
      <x:c r="S6" s="3" t="str">
        <x:v>Colombia</x:v>
      </x:c>
      <x:c r="T6" s="3" t="str">
        <x:v>Laura Mejia</x:v>
      </x:c>
      <x:c r="U6" s="3" t="str">
        <x:v>Pendiente</x:v>
      </x:c>
      <x:c r="V6" s="5" t="n">
        <x:v>46034</x:v>
      </x:c>
      <x:c r="W6" s="9" t="n">
        <x:v>29</x:v>
      </x:c>
      <x:c r="X6" s="3" t="str">
        <x:v>Bajo</x:v>
      </x:c>
      <x:c r="Y6" s="3" t="str">
        <x:v>Transferencia</x:v>
      </x:c>
      <x:c r="Z6" s="3" t="str"/>
      <x:c r="AA6" s="3" t="str">
        <x:v>Si</x:v>
      </x:c>
      <x:c r="AB6" s="3" t="str">
        <x:v>Conciliacion no cerrada</x:v>
      </x:c>
    </x:row>
    <x:row r="7">
      <x:c r="A7" s="3" t="str">
        <x:v>NOVA-TRX-0015</x:v>
      </x:c>
      <x:c r="B7" s="5" t="n">
        <x:v>46025</x:v>
      </x:c>
      <x:c r="C7" s="5" t="n">
        <x:v>46025</x:v>
      </x:c>
      <x:c r="D7" s="3" t="str">
        <x:v>EMP-101</x:v>
      </x:c>
      <x:c r="E7" s="3" t="str">
        <x:v>Nova Retail S.A.S.</x:v>
      </x:c>
      <x:c r="F7" s="3" t="str">
        <x:v>1101-884422</x:v>
      </x:c>
      <x:c r="G7" s="3" t="str">
        <x:v>Banco Capital</x:v>
      </x:c>
      <x:c r="H7" s="3" t="str">
        <x:v>Ingreso</x:v>
      </x:c>
      <x:c r="I7" s="3" t="str">
        <x:v>Venta nacional</x:v>
      </x:c>
      <x:c r="J7" s="3" t="str">
        <x:v>Arrendadora Centro</x:v>
      </x:c>
      <x:c r="K7" s="3" t="str">
        <x:v>FAC-NOVA-20260015</x:v>
      </x:c>
      <x:c r="L7" s="3" t="str">
        <x:v>COP</x:v>
      </x:c>
      <x:c r="M7" s="7" t="n">
        <x:v>1081815</x:v>
      </x:c>
      <x:c r="N7" s="7" t="n">
        <x:v>205544.85</x:v>
      </x:c>
      <x:c r="O7" s="7" t="n">
        <x:v>1287359.85</x:v>
      </x:c>
      <x:c r="P7" s="3" t="str">
        <x:v>ACH</x:v>
      </x:c>
      <x:c r="Q7" s="3" t="str">
        <x:v>Finanzas</x:v>
      </x:c>
      <x:c r="R7" s="3" t="str">
        <x:v>Bogota</x:v>
      </x:c>
      <x:c r="S7" s="3" t="str">
        <x:v>Colombia</x:v>
      </x:c>
      <x:c r="T7" s="3" t="str">
        <x:v>Ana Ruiz</x:v>
      </x:c>
      <x:c r="U7" s="3" t="str">
        <x:v>Conciliado</x:v>
      </x:c>
      <x:c r="V7" s="5" t="n">
        <x:v>46032</x:v>
      </x:c>
      <x:c r="W7" s="9" t="n">
        <x:v>0</x:v>
      </x:c>
      <x:c r="X7" s="3" t="str">
        <x:v>Bajo</x:v>
      </x:c>
      <x:c r="Y7" s="3" t="str">
        <x:v>Tarjeta</x:v>
      </x:c>
      <x:c r="Z7" s="3" t="str"/>
      <x:c r="AA7" s="3" t="str">
        <x:v>No</x:v>
      </x:c>
      <x:c r="AB7" s="3" t="str"/>
    </x:row>
    <x:row r="8">
      <x:c r="A8" s="3" t="str">
        <x:v>NOVA-TRX-0042</x:v>
      </x:c>
      <x:c r="B8" s="5" t="n">
        <x:v>46025</x:v>
      </x:c>
      <x:c r="C8" s="5" t="n">
        <x:v>46027</x:v>
      </x:c>
      <x:c r="D8" s="3" t="str">
        <x:v>EMP-101</x:v>
      </x:c>
      <x:c r="E8" s="3" t="str">
        <x:v>Nova Retail S.A.S.</x:v>
      </x:c>
      <x:c r="F8" s="3" t="str">
        <x:v>1101-884422</x:v>
      </x:c>
      <x:c r="G8" s="3" t="str">
        <x:v>Banco Andino</x:v>
      </x:c>
      <x:c r="H8" s="3" t="str">
        <x:v>Ingreso</x:v>
      </x:c>
      <x:c r="I8" s="3" t="str">
        <x:v>Venta nacional</x:v>
      </x:c>
      <x:c r="J8" s="3" t="str">
        <x:v>Aduanas Global</x:v>
      </x:c>
      <x:c r="K8" s="3" t="str">
        <x:v>FAC-NOVA-20260042</x:v>
      </x:c>
      <x:c r="L8" s="3" t="str">
        <x:v>COP</x:v>
      </x:c>
      <x:c r="M8" s="7" t="n">
        <x:v>2813082</x:v>
      </x:c>
      <x:c r="N8" s="7" t="n">
        <x:v>534485.58</x:v>
      </x:c>
      <x:c r="O8" s="7" t="n">
        <x:v>3347567.58</x:v>
      </x:c>
      <x:c r="P8" s="3" t="str">
        <x:v>Tarjeta credito</x:v>
      </x:c>
      <x:c r="Q8" s="3" t="str">
        <x:v>Administracion</x:v>
      </x:c>
      <x:c r="R8" s="3" t="str">
        <x:v>Bogota</x:v>
      </x:c>
      <x:c r="S8" s="3" t="str">
        <x:v>Colombia</x:v>
      </x:c>
      <x:c r="T8" s="3" t="str">
        <x:v>Ana Ruiz</x:v>
      </x:c>
      <x:c r="U8" s="3" t="str">
        <x:v>Conciliado</x:v>
      </x:c>
      <x:c r="V8" s="5" t="n">
        <x:v>46023</x:v>
      </x:c>
      <x:c r="W8" s="9" t="n">
        <x:v>0</x:v>
      </x:c>
      <x:c r="X8" s="3" t="str">
        <x:v>Bajo</x:v>
      </x:c>
      <x:c r="Y8" s="3" t="str">
        <x:v>Portal bancario</x:v>
      </x:c>
      <x:c r="Z8" s="3" t="str"/>
      <x:c r="AA8" s="3" t="str">
        <x:v>No</x:v>
      </x:c>
      <x:c r="AB8" s="3" t="str"/>
    </x:row>
    <x:row r="9">
      <x:c r="A9" s="3" t="str">
        <x:v>NOVA-TRX-0069</x:v>
      </x:c>
      <x:c r="B9" s="5" t="n">
        <x:v>46025</x:v>
      </x:c>
      <x:c r="C9" s="5" t="n">
        <x:v>46025</x:v>
      </x:c>
      <x:c r="D9" s="3" t="str">
        <x:v>EMP-101</x:v>
      </x:c>
      <x:c r="E9" s="3" t="str">
        <x:v>Nova Retail S.A.S.</x:v>
      </x:c>
      <x:c r="F9" s="3" t="str">
        <x:v>1101-884422</x:v>
      </x:c>
      <x:c r="G9" s="3" t="str">
        <x:v>Banco Capital</x:v>
      </x:c>
      <x:c r="H9" s="3" t="str">
        <x:v>Egreso</x:v>
      </x:c>
      <x:c r="I9" s="3" t="str">
        <x:v>Reembolso</x:v>
      </x:c>
      <x:c r="J9" s="3" t="str">
        <x:v>Distribuidora Delta</x:v>
      </x:c>
      <x:c r="K9" s="3" t="str">
        <x:v>PAG-NOVA-20260069</x:v>
      </x:c>
      <x:c r="L9" s="3" t="str">
        <x:v>COP</x:v>
      </x:c>
      <x:c r="M9" s="7" t="n">
        <x:v>-4544349</x:v>
      </x:c>
      <x:c r="N9" s="7" t="n">
        <x:v>0</x:v>
      </x:c>
      <x:c r="O9" s="7" t="n">
        <x:v>-4544349</x:v>
      </x:c>
      <x:c r="P9" s="3" t="str">
        <x:v>Debito automatico</x:v>
      </x:c>
      <x:c r="Q9" s="3" t="str"/>
      <x:c r="R9" s="3" t="str">
        <x:v>Bogota</x:v>
      </x:c>
      <x:c r="S9" s="3" t="str">
        <x:v>Colombia</x:v>
      </x:c>
      <x:c r="T9" s="3" t="str">
        <x:v>Ana Ruiz</x:v>
      </x:c>
      <x:c r="U9" s="3" t="str">
        <x:v>Conciliado</x:v>
      </x:c>
      <x:c r="V9" s="5" t="n">
        <x:v>46044</x:v>
      </x:c>
      <x:c r="W9" s="9" t="n">
        <x:v>0</x:v>
      </x:c>
      <x:c r="X9" s="3" t="str">
        <x:v>Bajo</x:v>
      </x:c>
      <x:c r="Y9" s="3" t="str">
        <x:v>Tarjeta</x:v>
      </x:c>
      <x:c r="Z9" s="3" t="str"/>
      <x:c r="AA9" s="3" t="str">
        <x:v>Si</x:v>
      </x:c>
      <x:c r="AB9" s="3" t="str">
        <x:v>Centro de costo vacio</x:v>
      </x:c>
    </x:row>
    <x:row r="10">
      <x:c r="A10" s="3" t="str">
        <x:v>NOVA-TRX-0001</x:v>
      </x:c>
      <x:c r="B10" s="5" t="n">
        <x:v>46026</x:v>
      </x:c>
      <x:c r="C10" s="5" t="n">
        <x:v>46026</x:v>
      </x:c>
      <x:c r="D10" s="3" t="str">
        <x:v>EMP-101</x:v>
      </x:c>
      <x:c r="E10" s="3" t="str">
        <x:v>Nova Retail S.A.S.</x:v>
      </x:c>
      <x:c r="F10" s="3" t="str">
        <x:v>1101-884422</x:v>
      </x:c>
      <x:c r="G10" s="3" t="str">
        <x:v>Banco Capital</x:v>
      </x:c>
      <x:c r="H10" s="3" t="str">
        <x:v>Egreso</x:v>
      </x:c>
      <x:c r="I10" s="3" t="str">
        <x:v>Nomina</x:v>
      </x:c>
      <x:c r="J10" s="3" t="str">
        <x:v>Servicios Beta</x:v>
      </x:c>
      <x:c r="K10" s="3" t="str">
        <x:v>NOM-NOVA-20260001</x:v>
      </x:c>
      <x:c r="L10" s="3" t="str">
        <x:v>COP</x:v>
      </x:c>
      <x:c r="M10" s="7" t="n">
        <x:v>-184121</x:v>
      </x:c>
      <x:c r="N10" s="7" t="n">
        <x:v>0</x:v>
      </x:c>
      <x:c r="O10" s="7" t="n">
        <x:v>-184121</x:v>
      </x:c>
      <x:c r="P10" s="3" t="str">
        <x:v>Transferencia local</x:v>
      </x:c>
      <x:c r="Q10" s="3" t="str">
        <x:v>Operaciones</x:v>
      </x:c>
      <x:c r="R10" s="3" t="str">
        <x:v>Bogota</x:v>
      </x:c>
      <x:c r="S10" s="3" t="str">
        <x:v>Colombia</x:v>
      </x:c>
      <x:c r="T10" s="3" t="str">
        <x:v>Carlos Pena</x:v>
      </x:c>
      <x:c r="U10" s="3" t="str">
        <x:v>Conciliado</x:v>
      </x:c>
      <x:c r="V10" s="5" t="n">
        <x:v>46021</x:v>
      </x:c>
      <x:c r="W10" s="9" t="n">
        <x:v>0</x:v>
      </x:c>
      <x:c r="X10" s="3" t="str">
        <x:v>Bajo</x:v>
      </x:c>
      <x:c r="Y10" s="3" t="str">
        <x:v>PSE</x:v>
      </x:c>
      <x:c r="Z10" s="3" t="str"/>
      <x:c r="AA10" s="3" t="str">
        <x:v>No</x:v>
      </x:c>
      <x:c r="AB10" s="3" t="str"/>
    </x:row>
    <x:row r="11">
      <x:c r="A11" s="3" t="str">
        <x:v>NOVA-TRX-0028</x:v>
      </x:c>
      <x:c r="B11" s="5" t="n">
        <x:v>46026</x:v>
      </x:c>
      <x:c r="C11" s="5" t="n">
        <x:v>46027</x:v>
      </x:c>
      <x:c r="D11" s="3" t="str">
        <x:v>EMP-101</x:v>
      </x:c>
      <x:c r="E11" s="3" t="str">
        <x:v>Nova Retail S.A.S.</x:v>
      </x:c>
      <x:c r="F11" s="3" t="str">
        <x:v>1101-884422</x:v>
      </x:c>
      <x:c r="G11" s="3" t="str">
        <x:v>Banco Andino</x:v>
      </x:c>
      <x:c r="H11" s="3" t="str">
        <x:v>Ingreso</x:v>
      </x:c>
      <x:c r="I11" s="3" t="str">
        <x:v>Venta internacional</x:v>
      </x:c>
      <x:c r="J11" s="3" t="str">
        <x:v>Cliente Norte S.A.</x:v>
      </x:c>
      <x:c r="K11" s="3" t="str">
        <x:v>FAC-NOVA-20260028</x:v>
      </x:c>
      <x:c r="L11" s="3" t="str">
        <x:v>COP</x:v>
      </x:c>
      <x:c r="M11" s="7" t="n">
        <x:v>1915388</x:v>
      </x:c>
      <x:c r="N11" s="7" t="n">
        <x:v>0</x:v>
      </x:c>
      <x:c r="O11" s="7" t="n">
        <x:v>1915388</x:v>
      </x:c>
      <x:c r="P11" s="3" t="str">
        <x:v>Cheque</x:v>
      </x:c>
      <x:c r="Q11" s="3" t="str">
        <x:v>Comercial</x:v>
      </x:c>
      <x:c r="R11" s="3" t="str">
        <x:v>Bogota</x:v>
      </x:c>
      <x:c r="S11" s="3" t="str">
        <x:v>Colombia</x:v>
      </x:c>
      <x:c r="T11" s="3" t="str">
        <x:v>Carlos Pena</x:v>
      </x:c>
      <x:c r="U11" s="3" t="str">
        <x:v>Pendiente</x:v>
      </x:c>
      <x:c r="V11" s="5" t="n">
        <x:v>46042</x:v>
      </x:c>
      <x:c r="W11" s="9" t="n">
        <x:v>21</x:v>
      </x:c>
      <x:c r="X11" s="3" t="str">
        <x:v>Bajo</x:v>
      </x:c>
      <x:c r="Y11" s="3" t="str">
        <x:v>Debito automatico</x:v>
      </x:c>
      <x:c r="Z11" s="3" t="str"/>
      <x:c r="AA11" s="3" t="str">
        <x:v>Si</x:v>
      </x:c>
      <x:c r="AB11" s="3" t="str">
        <x:v>Conciliacion no cerrada</x:v>
      </x:c>
    </x:row>
    <x:row r="12">
      <x:c r="A12" s="3" t="str">
        <x:v>NOVA-TRX-0071</x:v>
      </x:c>
      <x:c r="B12" s="5" t="n">
        <x:v>46026</x:v>
      </x:c>
      <x:c r="C12" s="5" t="n">
        <x:v>46026</x:v>
      </x:c>
      <x:c r="D12" s="3" t="str">
        <x:v>EMP-101</x:v>
      </x:c>
      <x:c r="E12" s="3" t="str">
        <x:v>Nova Retail S.A.S.</x:v>
      </x:c>
      <x:c r="F12" s="3" t="str">
        <x:v>1101-884422</x:v>
      </x:c>
      <x:c r="G12" s="3" t="str">
        <x:v>Banco Capital</x:v>
      </x:c>
      <x:c r="H12" s="3" t="str">
        <x:v>Egreso</x:v>
      </x:c>
      <x:c r="I12" s="3" t="str">
        <x:v>Credito bancario</x:v>
      </x:c>
      <x:c r="J12" s="3" t="str">
        <x:v>Servicios Beta</x:v>
      </x:c>
      <x:c r="K12" s="3" t="str">
        <x:v>PAG-NOVA-20260071</x:v>
      </x:c>
      <x:c r="L12" s="3" t="str">
        <x:v>COP</x:v>
      </x:c>
      <x:c r="M12" s="7" t="n">
        <x:v>-4672591</x:v>
      </x:c>
      <x:c r="N12" s="7" t="n">
        <x:v>0</x:v>
      </x:c>
      <x:c r="O12" s="7" t="n">
        <x:v>-4672591</x:v>
      </x:c>
      <x:c r="P12" s="3" t="str">
        <x:v>Transferencia local</x:v>
      </x:c>
      <x:c r="Q12" s="3" t="str">
        <x:v>Finanzas</x:v>
      </x:c>
      <x:c r="R12" s="3" t="str">
        <x:v>Bogota</x:v>
      </x:c>
      <x:c r="S12" s="3" t="str">
        <x:v>Colombia</x:v>
      </x:c>
      <x:c r="T12" s="3" t="str">
        <x:v>Laura Mejia</x:v>
      </x:c>
      <x:c r="U12" s="3" t="str">
        <x:v>Conciliado</x:v>
      </x:c>
      <x:c r="V12" s="5" t="n">
        <x:v>46021</x:v>
      </x:c>
      <x:c r="W12" s="9" t="n">
        <x:v>0</x:v>
      </x:c>
      <x:c r="X12" s="3" t="str">
        <x:v>Bajo</x:v>
      </x:c>
      <x:c r="Y12" s="3" t="str">
        <x:v>Caja</x:v>
      </x:c>
      <x:c r="Z12" s="3" t="str"/>
      <x:c r="AA12" s="3" t="str">
        <x:v>No</x:v>
      </x:c>
      <x:c r="AB12" s="3" t="str"/>
    </x:row>
    <x:row r="13">
      <x:c r="A13" s="3" t="str">
        <x:v>NOVA-TRX-0014</x:v>
      </x:c>
      <x:c r="B13" s="5" t="n">
        <x:v>46027</x:v>
      </x:c>
      <x:c r="C13" s="5" t="n">
        <x:v>46027</x:v>
      </x:c>
      <x:c r="D13" s="3" t="str">
        <x:v>EMP-101</x:v>
      </x:c>
      <x:c r="E13" s="3" t="str">
        <x:v>Nova Retail S.A.S.</x:v>
      </x:c>
      <x:c r="F13" s="3" t="str">
        <x:v>1101-884422</x:v>
      </x:c>
      <x:c r="G13" s="3" t="str">
        <x:v>Banco Andino</x:v>
      </x:c>
      <x:c r="H13" s="3" t="str">
        <x:v>Ingreso</x:v>
      </x:c>
      <x:c r="I13" s="3" t="str">
        <x:v>Credito bancario</x:v>
      </x:c>
      <x:c r="J13" s="3" t="str">
        <x:v>Talento Humano</x:v>
      </x:c>
      <x:c r="K13" s="3" t="str">
        <x:v>FAC-NOVA-20260014</x:v>
      </x:c>
      <x:c r="L13" s="3" t="str">
        <x:v>COP</x:v>
      </x:c>
      <x:c r="M13" s="7" t="n">
        <x:v>1017694</x:v>
      </x:c>
      <x:c r="N13" s="7" t="n">
        <x:v>0</x:v>
      </x:c>
      <x:c r="O13" s="7" t="n">
        <x:v>1017694</x:v>
      </x:c>
      <x:c r="P13" s="3" t="str">
        <x:v>Debito automatico</x:v>
      </x:c>
      <x:c r="Q13" s="3" t="str">
        <x:v>Administracion</x:v>
      </x:c>
      <x:c r="R13" s="3" t="str">
        <x:v>Bogota</x:v>
      </x:c>
      <x:c r="S13" s="3" t="str">
        <x:v>Colombia</x:v>
      </x:c>
      <x:c r="T13" s="3" t="str">
        <x:v>Laura Mejia</x:v>
      </x:c>
      <x:c r="U13" s="3" t="str">
        <x:v>Conciliado</x:v>
      </x:c>
      <x:c r="V13" s="5" t="n">
        <x:v>46031</x:v>
      </x:c>
      <x:c r="W13" s="9" t="n">
        <x:v>0</x:v>
      </x:c>
      <x:c r="X13" s="3" t="str">
        <x:v>Bajo</x:v>
      </x:c>
      <x:c r="Y13" s="3" t="str">
        <x:v>Transferencia</x:v>
      </x:c>
      <x:c r="Z13" s="3" t="str"/>
      <x:c r="AA13" s="3" t="str">
        <x:v>No</x:v>
      </x:c>
      <x:c r="AB13" s="3" t="str"/>
    </x:row>
    <x:row r="14">
      <x:c r="A14" s="3" t="str">
        <x:v>NOVA-TRX-0029</x:v>
      </x:c>
      <x:c r="B14" s="5" t="n">
        <x:v>46027</x:v>
      </x:c>
      <x:c r="C14" s="5" t="n">
        <x:v>46029</x:v>
      </x:c>
      <x:c r="D14" s="3" t="str">
        <x:v>EMP-101</x:v>
      </x:c>
      <x:c r="E14" s="3" t="str">
        <x:v>Nova Retail S.A.S.</x:v>
      </x:c>
      <x:c r="F14" s="3" t="str">
        <x:v>1101-884422</x:v>
      </x:c>
      <x:c r="G14" s="3" t="str">
        <x:v>Banco Andino</x:v>
      </x:c>
      <x:c r="H14" s="3" t="str">
        <x:v>Ingreso</x:v>
      </x:c>
      <x:c r="I14" s="3" t="str">
        <x:v>Venta nacional</x:v>
      </x:c>
      <x:c r="J14" s="3" t="str">
        <x:v>Proveedor Alfa</x:v>
      </x:c>
      <x:c r="K14" s="3" t="str">
        <x:v>FAC-NOVA-20260030</x:v>
      </x:c>
      <x:c r="L14" s="3" t="str">
        <x:v>COP</x:v>
      </x:c>
      <x:c r="M14" s="7" t="n">
        <x:v>2043630</x:v>
      </x:c>
      <x:c r="N14" s="7" t="n">
        <x:v>388289.7</x:v>
      </x:c>
      <x:c r="O14" s="7" t="n">
        <x:v>2431919.7</x:v>
      </x:c>
      <x:c r="P14" s="3" t="str">
        <x:v>ACH</x:v>
      </x:c>
      <x:c r="Q14" s="3" t="str">
        <x:v>Administracion</x:v>
      </x:c>
      <x:c r="R14" s="3" t="str">
        <x:v>Bogota</x:v>
      </x:c>
      <x:c r="S14" s="3" t="str">
        <x:v>Colombia</x:v>
      </x:c>
      <x:c r="T14" s="3" t="str">
        <x:v>Ana Ruiz</x:v>
      </x:c>
      <x:c r="U14" s="3" t="str">
        <x:v>Conciliado</x:v>
      </x:c>
      <x:c r="V14" s="5" t="n">
        <x:v>46019</x:v>
      </x:c>
      <x:c r="W14" s="9" t="n">
        <x:v>0</x:v>
      </x:c>
      <x:c r="X14" s="3" t="str">
        <x:v>Bajo</x:v>
      </x:c>
      <x:c r="Y14" s="3" t="str">
        <x:v>Portal bancario</x:v>
      </x:c>
      <x:c r="Z14" s="3" t="str"/>
      <x:c r="AA14" s="3" t="str">
        <x:v>No</x:v>
      </x:c>
      <x:c r="AB14" s="3" t="str"/>
    </x:row>
    <x:row r="15">
      <x:c r="A15" s="3" t="str">
        <x:v>NOVA-TRX-0057</x:v>
      </x:c>
      <x:c r="B15" s="5" t="n">
        <x:v>46027</x:v>
      </x:c>
      <x:c r="C15" s="5" t="n">
        <x:v>46027</x:v>
      </x:c>
      <x:c r="D15" s="3" t="str">
        <x:v>EMP-101</x:v>
      </x:c>
      <x:c r="E15" s="3" t="str">
        <x:v>Nova Retail S.A.S.</x:v>
      </x:c>
      <x:c r="F15" s="3" t="str">
        <x:v>1101-884422</x:v>
      </x:c>
      <x:c r="G15" s="3" t="str">
        <x:v>Banco Capital</x:v>
      </x:c>
      <x:c r="H15" s="3" t="str">
        <x:v>Egreso</x:v>
      </x:c>
      <x:c r="I15" s="3" t="str">
        <x:v>Nomina</x:v>
      </x:c>
      <x:c r="J15" s="3" t="str">
        <x:v>Cliente Express</x:v>
      </x:c>
      <x:c r="K15" s="3" t="str"/>
      <x:c r="L15" s="3" t="str">
        <x:v>COP</x:v>
      </x:c>
      <x:c r="M15" s="7" t="n">
        <x:v>-3774897</x:v>
      </x:c>
      <x:c r="N15" s="7" t="n">
        <x:v>0</x:v>
      </x:c>
      <x:c r="O15" s="7" t="n">
        <x:v>-3774897</x:v>
      </x:c>
      <x:c r="P15" s="3" t="str">
        <x:v>Tarjeta credito</x:v>
      </x:c>
      <x:c r="Q15" s="3" t="str">
        <x:v>Operaciones</x:v>
      </x:c>
      <x:c r="R15" s="3" t="str">
        <x:v>Bogota</x:v>
      </x:c>
      <x:c r="S15" s="3" t="str">
        <x:v>Colombia</x:v>
      </x:c>
      <x:c r="T15" s="3" t="str">
        <x:v>Ana Ruiz</x:v>
      </x:c>
      <x:c r="U15" s="3" t="str">
        <x:v>Conciliado</x:v>
      </x:c>
      <x:c r="V15" s="5" t="n">
        <x:v>46040</x:v>
      </x:c>
      <x:c r="W15" s="9" t="n">
        <x:v>0</x:v>
      </x:c>
      <x:c r="X15" s="3" t="str">
        <x:v>Bajo</x:v>
      </x:c>
      <x:c r="Y15" s="3" t="str">
        <x:v>Tarjeta</x:v>
      </x:c>
      <x:c r="Z15" s="3" t="str">
        <x:v>Soporte pendiente</x:v>
      </x:c>
      <x:c r="AA15" s="3" t="str">
        <x:v>Si</x:v>
      </x:c>
      <x:c r="AB15" s="3" t="str">
        <x:v>Documento faltante</x:v>
      </x:c>
    </x:row>
    <x:row r="16">
      <x:c r="A16" s="3" t="str">
        <x:v>NOVA-TRX-0016</x:v>
      </x:c>
      <x:c r="B16" s="5" t="n">
        <x:v>46028</x:v>
      </x:c>
      <x:c r="C16" s="5" t="n">
        <x:v>46029</x:v>
      </x:c>
      <x:c r="D16" s="3" t="str">
        <x:v>EMP-101</x:v>
      </x:c>
      <x:c r="E16" s="3" t="str">
        <x:v>Nova Retail S.A.S.</x:v>
      </x:c>
      <x:c r="F16" s="3" t="str">
        <x:v>1101-884422</x:v>
      </x:c>
      <x:c r="G16" s="3" t="str">
        <x:v>Banco Andino</x:v>
      </x:c>
      <x:c r="H16" s="3" t="str">
        <x:v>Egreso</x:v>
      </x:c>
      <x:c r="I16" s="3" t="str">
        <x:v>Pago proveedor</x:v>
      </x:c>
      <x:c r="J16" s="3" t="str">
        <x:v>Financiera Sur</x:v>
      </x:c>
      <x:c r="K16" s="3" t="str">
        <x:v>PAG-NOVA-20260016</x:v>
      </x:c>
      <x:c r="L16" s="3" t="str">
        <x:v>COP</x:v>
      </x:c>
      <x:c r="M16" s="7" t="n">
        <x:v>-1145936</x:v>
      </x:c>
      <x:c r="N16" s="7" t="n">
        <x:v>-217727.84</x:v>
      </x:c>
      <x:c r="O16" s="7" t="n">
        <x:v>-1363663.84</x:v>
      </x:c>
      <x:c r="P16" s="3" t="str">
        <x:v>Transferencia local</x:v>
      </x:c>
      <x:c r="Q16" s="3" t="str">
        <x:v>Comercial</x:v>
      </x:c>
      <x:c r="R16" s="3" t="str">
        <x:v>Bogota</x:v>
      </x:c>
      <x:c r="S16" s="3" t="str">
        <x:v>Colombia</x:v>
      </x:c>
      <x:c r="T16" s="3" t="str">
        <x:v>Carlos Pena</x:v>
      </x:c>
      <x:c r="U16" s="3" t="str">
        <x:v>Pendiente</x:v>
      </x:c>
      <x:c r="V16" s="5" t="n">
        <x:v>46038</x:v>
      </x:c>
      <x:c r="W16" s="9" t="n">
        <x:v>25</x:v>
      </x:c>
      <x:c r="X16" s="3" t="str">
        <x:v>Bajo</x:v>
      </x:c>
      <x:c r="Y16" s="3" t="str">
        <x:v>Debito automatico</x:v>
      </x:c>
      <x:c r="Z16" s="3" t="str"/>
      <x:c r="AA16" s="3" t="str">
        <x:v>Si</x:v>
      </x:c>
      <x:c r="AB16" s="3" t="str">
        <x:v>Conciliacion no cerrada</x:v>
      </x:c>
    </x:row>
    <x:row r="17">
      <x:c r="A17" s="3" t="str">
        <x:v>NOVA-TRX-0043</x:v>
      </x:c>
      <x:c r="B17" s="5" t="n">
        <x:v>46028</x:v>
      </x:c>
      <x:c r="C17" s="5" t="n">
        <x:v>46028</x:v>
      </x:c>
      <x:c r="D17" s="3" t="str">
        <x:v>EMP-101</x:v>
      </x:c>
      <x:c r="E17" s="3" t="str">
        <x:v>Nova Retail S.A.S.</x:v>
      </x:c>
      <x:c r="F17" s="3" t="str">
        <x:v>1101-884422</x:v>
      </x:c>
      <x:c r="G17" s="3" t="str">
        <x:v>Banco Capital</x:v>
      </x:c>
      <x:c r="H17" s="3" t="str">
        <x:v>Egreso</x:v>
      </x:c>
      <x:c r="I17" s="3" t="str">
        <x:v>Servicios publicos</x:v>
      </x:c>
      <x:c r="J17" s="3" t="str">
        <x:v>Energia Urbana</x:v>
      </x:c>
      <x:c r="K17" s="3" t="str">
        <x:v>PAG-NOVA-20260043</x:v>
      </x:c>
      <x:c r="L17" s="3" t="str">
        <x:v>COP</x:v>
      </x:c>
      <x:c r="M17" s="7" t="n">
        <x:v>-2877203</x:v>
      </x:c>
      <x:c r="N17" s="7" t="n">
        <x:v>-546668.57</x:v>
      </x:c>
      <x:c r="O17" s="7" t="n">
        <x:v>-3423871.57</x:v>
      </x:c>
      <x:c r="P17" s="3" t="str">
        <x:v>Cheque</x:v>
      </x:c>
      <x:c r="Q17" s="3" t="str">
        <x:v>Finanzas</x:v>
      </x:c>
      <x:c r="R17" s="3" t="str">
        <x:v>Bogota</x:v>
      </x:c>
      <x:c r="S17" s="3" t="str">
        <x:v>Colombia</x:v>
      </x:c>
      <x:c r="T17" s="3" t="str">
        <x:v>Carlos Pena</x:v>
      </x:c>
      <x:c r="U17" s="3" t="str">
        <x:v>Conciliado</x:v>
      </x:c>
      <x:c r="V17" s="5" t="n">
        <x:v>46029</x:v>
      </x:c>
      <x:c r="W17" s="9" t="n">
        <x:v>0</x:v>
      </x:c>
      <x:c r="X17" s="3" t="str">
        <x:v>Bajo</x:v>
      </x:c>
      <x:c r="Y17" s="3" t="str">
        <x:v>PSE</x:v>
      </x:c>
      <x:c r="Z17" s="3" t="str"/>
      <x:c r="AA17" s="3" t="str">
        <x:v>No</x:v>
      </x:c>
      <x:c r="AB17" s="3" t="str"/>
    </x:row>
    <x:row r="18">
      <x:c r="A18" s="3" t="str">
        <x:v>NOVA-TRX-0002</x:v>
      </x:c>
      <x:c r="B18" s="5" t="n">
        <x:v>46029</x:v>
      </x:c>
      <x:c r="C18" s="5" t="n">
        <x:v>46029</x:v>
      </x:c>
      <x:c r="D18" s="3" t="str">
        <x:v>EMP-101</x:v>
      </x:c>
      <x:c r="E18" s="3" t="str">
        <x:v>Nova Retail S.A.S.</x:v>
      </x:c>
      <x:c r="F18" s="3" t="str">
        <x:v>1101-884422</x:v>
      </x:c>
      <x:c r="G18" s="3" t="str">
        <x:v>Banco Andino</x:v>
      </x:c>
      <x:c r="H18" s="3" t="str">
        <x:v>Egreso</x:v>
      </x:c>
      <x:c r="I18" s="3" t="str">
        <x:v>Impuestos</x:v>
      </x:c>
      <x:c r="J18" s="3" t="str">
        <x:v>Aduanas Global</x:v>
      </x:c>
      <x:c r="K18" s="3" t="str">
        <x:v>PAG-NOVA-20260002</x:v>
      </x:c>
      <x:c r="L18" s="3" t="str">
        <x:v>COP</x:v>
      </x:c>
      <x:c r="M18" s="7" t="n">
        <x:v>-248242</x:v>
      </x:c>
      <x:c r="N18" s="7" t="n">
        <x:v>0</x:v>
      </x:c>
      <x:c r="O18" s="7" t="n">
        <x:v>-248242</x:v>
      </x:c>
      <x:c r="P18" s="3" t="str">
        <x:v>Tarjeta credito</x:v>
      </x:c>
      <x:c r="Q18" s="3" t="str">
        <x:v>Administracion</x:v>
      </x:c>
      <x:c r="R18" s="3" t="str">
        <x:v>Bogota</x:v>
      </x:c>
      <x:c r="S18" s="3" t="str">
        <x:v>Colombia</x:v>
      </x:c>
      <x:c r="T18" s="3" t="str">
        <x:v>Laura Mejia</x:v>
      </x:c>
      <x:c r="U18" s="3" t="str">
        <x:v>Conciliado</x:v>
      </x:c>
      <x:c r="V18" s="5" t="n">
        <x:v>46027</x:v>
      </x:c>
      <x:c r="W18" s="9" t="n">
        <x:v>0</x:v>
      </x:c>
      <x:c r="X18" s="3" t="str">
        <x:v>Bajo</x:v>
      </x:c>
      <x:c r="Y18" s="3" t="str">
        <x:v>Transferencia</x:v>
      </x:c>
      <x:c r="Z18" s="3" t="str"/>
      <x:c r="AA18" s="3" t="str">
        <x:v>No</x:v>
      </x:c>
      <x:c r="AB18" s="3" t="str"/>
    </x:row>
    <x:row r="19">
      <x:c r="A19" s="3" t="str">
        <x:v>NOVA-TRX-0029</x:v>
      </x:c>
      <x:c r="B19" s="5" t="n">
        <x:v>46029</x:v>
      </x:c>
      <x:c r="C19" s="5" t="n">
        <x:v>46029</x:v>
      </x:c>
      <x:c r="D19" s="3" t="str">
        <x:v>EMP-101</x:v>
      </x:c>
      <x:c r="E19" s="3" t="str">
        <x:v>Nova Retail S.A.S.</x:v>
      </x:c>
      <x:c r="F19" s="3" t="str">
        <x:v>1101-884422</x:v>
      </x:c>
      <x:c r="G19" s="3" t="str">
        <x:v>Banco Capital</x:v>
      </x:c>
      <x:c r="H19" s="3" t="str">
        <x:v>Egreso</x:v>
      </x:c>
      <x:c r="I19" s="3" t="str">
        <x:v>Reembolso</x:v>
      </x:c>
      <x:c r="J19" s="3" t="str">
        <x:v>Distribuidora Delta</x:v>
      </x:c>
      <x:c r="K19" s="3" t="str">
        <x:v>PAG-NOVA-20260029</x:v>
      </x:c>
      <x:c r="L19" s="3" t="str">
        <x:v>COP</x:v>
      </x:c>
      <x:c r="M19" s="7" t="n">
        <x:v>-1979509</x:v>
      </x:c>
      <x:c r="N19" s="7" t="n">
        <x:v>0</x:v>
      </x:c>
      <x:c r="O19" s="7" t="n">
        <x:v>-1979509</x:v>
      </x:c>
      <x:c r="P19" s="3" t="str">
        <x:v>Debito automatico</x:v>
      </x:c>
      <x:c r="Q19" s="3" t="str">
        <x:v>Operaciones</x:v>
      </x:c>
      <x:c r="R19" s="3" t="str">
        <x:v>Bogota</x:v>
      </x:c>
      <x:c r="S19" s="3" t="str">
        <x:v>Colombia</x:v>
      </x:c>
      <x:c r="T19" s="3" t="str">
        <x:v>Laura Mejia</x:v>
      </x:c>
      <x:c r="U19" s="3" t="str">
        <x:v>Duplicado</x:v>
      </x:c>
      <x:c r="V19" s="5" t="n">
        <x:v>46048</x:v>
      </x:c>
      <x:c r="W19" s="9" t="n">
        <x:v>15</x:v>
      </x:c>
      <x:c r="X19" s="3" t="str">
        <x:v>Bajo</x:v>
      </x:c>
      <x:c r="Y19" s="3" t="str">
        <x:v>Caja</x:v>
      </x:c>
      <x:c r="Z19" s="3" t="str"/>
      <x:c r="AA19" s="3" t="str">
        <x:v>Si</x:v>
      </x:c>
      <x:c r="AB19" s="3" t="str">
        <x:v>Conciliacion no cerrada</x:v>
      </x:c>
    </x:row>
    <x:row r="20">
      <x:c r="A20" s="3" t="str">
        <x:v>NOVA-TRX-0045</x:v>
      </x:c>
      <x:c r="B20" s="5" t="n">
        <x:v>46029</x:v>
      </x:c>
      <x:c r="C20" s="5" t="n">
        <x:v>46029</x:v>
      </x:c>
      <x:c r="D20" s="3" t="str">
        <x:v>EMP-101</x:v>
      </x:c>
      <x:c r="E20" s="3" t="str">
        <x:v>Nova Retail S.A.S.</x:v>
      </x:c>
      <x:c r="F20" s="3" t="str">
        <x:v>1101-884422</x:v>
      </x:c>
      <x:c r="G20" s="3" t="str">
        <x:v>Banco Capital</x:v>
      </x:c>
      <x:c r="H20" s="3" t="str">
        <x:v>Ingreso</x:v>
      </x:c>
      <x:c r="I20" s="3" t="str">
        <x:v>Venta nacional</x:v>
      </x:c>
      <x:c r="J20" s="3" t="str">
        <x:v>Arrendadora Centro</x:v>
      </x:c>
      <x:c r="K20" s="3" t="str">
        <x:v>FAC-NOVA-20260045</x:v>
      </x:c>
      <x:c r="L20" s="3" t="str">
        <x:v>COP</x:v>
      </x:c>
      <x:c r="M20" s="7" t="n">
        <x:v>3005445</x:v>
      </x:c>
      <x:c r="N20" s="7" t="n">
        <x:v>571034.55</x:v>
      </x:c>
      <x:c r="O20" s="7" t="n">
        <x:v>3576479.55</x:v>
      </x:c>
      <x:c r="P20" s="3" t="str">
        <x:v>ACH</x:v>
      </x:c>
      <x:c r="Q20" s="3" t="str">
        <x:v>Operaciones</x:v>
      </x:c>
      <x:c r="R20" s="3" t="str">
        <x:v>Bogota</x:v>
      </x:c>
      <x:c r="S20" s="3" t="str">
        <x:v>Colombia</x:v>
      </x:c>
      <x:c r="T20" s="3" t="str">
        <x:v>Ana Ruiz</x:v>
      </x:c>
      <x:c r="U20" s="3" t="str">
        <x:v>Conciliado</x:v>
      </x:c>
      <x:c r="V20" s="5" t="n">
        <x:v>46036</x:v>
      </x:c>
      <x:c r="W20" s="9" t="n">
        <x:v>0</x:v>
      </x:c>
      <x:c r="X20" s="3" t="str">
        <x:v>Bajo</x:v>
      </x:c>
      <x:c r="Y20" s="3" t="str">
        <x:v>Tarjeta</x:v>
      </x:c>
      <x:c r="Z20" s="3" t="str"/>
      <x:c r="AA20" s="3" t="str">
        <x:v>No</x:v>
      </x:c>
      <x:c r="AB20" s="3" t="str"/>
    </x:row>
    <x:row r="21">
      <x:c r="A21" s="3" t="str">
        <x:v>NOVA-TRX-0072</x:v>
      </x:c>
      <x:c r="B21" s="5" t="n">
        <x:v>46029</x:v>
      </x:c>
      <x:c r="C21" s="5" t="n">
        <x:v>46031</x:v>
      </x:c>
      <x:c r="D21" s="3" t="str">
        <x:v>EMP-101</x:v>
      </x:c>
      <x:c r="E21" s="3" t="str">
        <x:v>Nova Retail S.A.S.</x:v>
      </x:c>
      <x:c r="F21" s="3" t="str">
        <x:v>1101-884422</x:v>
      </x:c>
      <x:c r="G21" s="3" t="str">
        <x:v>Banco Andino</x:v>
      </x:c>
      <x:c r="H21" s="3" t="str">
        <x:v>Egreso</x:v>
      </x:c>
      <x:c r="I21" s="3" t="str">
        <x:v>Pago proveedor</x:v>
      </x:c>
      <x:c r="J21" s="3" t="str">
        <x:v>Aduanas Global</x:v>
      </x:c>
      <x:c r="K21" s="3" t="str">
        <x:v>PAG-NOVA-20260072</x:v>
      </x:c>
      <x:c r="L21" s="3" t="str">
        <x:v>COP</x:v>
      </x:c>
      <x:c r="M21" s="7" t="n">
        <x:v>-4736712</x:v>
      </x:c>
      <x:c r="N21" s="7" t="n">
        <x:v>-899975.28</x:v>
      </x:c>
      <x:c r="O21" s="7" t="n">
        <x:v>-5636687.28</x:v>
      </x:c>
      <x:c r="P21" s="3" t="str">
        <x:v>Tarjeta credito</x:v>
      </x:c>
      <x:c r="Q21" s="3" t="str">
        <x:v>Comercial</x:v>
      </x:c>
      <x:c r="R21" s="3" t="str">
        <x:v>Bogota</x:v>
      </x:c>
      <x:c r="S21" s="3" t="str">
        <x:v>Colombia</x:v>
      </x:c>
      <x:c r="T21" s="3" t="str">
        <x:v>Ana Ruiz</x:v>
      </x:c>
      <x:c r="U21" s="3" t="str">
        <x:v>Pendiente</x:v>
      </x:c>
      <x:c r="V21" s="5" t="n">
        <x:v>46027</x:v>
      </x:c>
      <x:c r="W21" s="9" t="n">
        <x:v>36</x:v>
      </x:c>
      <x:c r="X21" s="3" t="str">
        <x:v>Medio</x:v>
      </x:c>
      <x:c r="Y21" s="3" t="str">
        <x:v>Portal bancario</x:v>
      </x:c>
      <x:c r="Z21" s="3" t="str"/>
      <x:c r="AA21" s="3" t="str">
        <x:v>Si</x:v>
      </x:c>
      <x:c r="AB21" s="3" t="str">
        <x:v>Conciliacion no cerrada</x:v>
      </x:c>
    </x:row>
    <x:row r="22">
      <x:c r="A22" s="3" t="str">
        <x:v>NOVA-TRX-0031</x:v>
      </x:c>
      <x:c r="B22" s="5" t="n">
        <x:v>46030</x:v>
      </x:c>
      <x:c r="C22" s="5" t="n">
        <x:v>46030</x:v>
      </x:c>
      <x:c r="D22" s="3" t="str">
        <x:v>EMP-101</x:v>
      </x:c>
      <x:c r="E22" s="3" t="str">
        <x:v>Nova Retail S.A.S.</x:v>
      </x:c>
      <x:c r="F22" s="3" t="str">
        <x:v>1101-884422</x:v>
      </x:c>
      <x:c r="G22" s="3" t="str">
        <x:v>Banco Capital</x:v>
      </x:c>
      <x:c r="H22" s="3" t="str">
        <x:v>Egreso</x:v>
      </x:c>
      <x:c r="I22" s="3" t="str">
        <x:v>Credito bancario</x:v>
      </x:c>
      <x:c r="J22" s="3" t="str">
        <x:v>Servicios Beta</x:v>
      </x:c>
      <x:c r="K22" s="3" t="str">
        <x:v>PAG-NOVA-20260031</x:v>
      </x:c>
      <x:c r="L22" s="3" t="str">
        <x:v>COP</x:v>
      </x:c>
      <x:c r="M22" s="7" t="n">
        <x:v>-2107751</x:v>
      </x:c>
      <x:c r="N22" s="7" t="n">
        <x:v>0</x:v>
      </x:c>
      <x:c r="O22" s="7" t="n">
        <x:v>-2107751</x:v>
      </x:c>
      <x:c r="P22" s="3" t="str">
        <x:v>Transferencia local</x:v>
      </x:c>
      <x:c r="Q22" s="3" t="str">
        <x:v>Finanzas</x:v>
      </x:c>
      <x:c r="R22" s="3" t="str">
        <x:v>Bogota</x:v>
      </x:c>
      <x:c r="S22" s="3" t="str">
        <x:v>Colombia</x:v>
      </x:c>
      <x:c r="T22" s="3" t="str"/>
      <x:c r="U22" s="3" t="str">
        <x:v>Conciliado</x:v>
      </x:c>
      <x:c r="V22" s="5" t="n">
        <x:v>46025</x:v>
      </x:c>
      <x:c r="W22" s="9" t="n">
        <x:v>0</x:v>
      </x:c>
      <x:c r="X22" s="3" t="str">
        <x:v>Bajo</x:v>
      </x:c>
      <x:c r="Y22" s="3" t="str">
        <x:v>PSE</x:v>
      </x:c>
      <x:c r="Z22" s="3" t="str"/>
      <x:c r="AA22" s="3" t="str">
        <x:v>Si</x:v>
      </x:c>
      <x:c r="AB22" s="3" t="str">
        <x:v>Responsable vacio</x:v>
      </x:c>
    </x:row>
    <x:row r="23">
      <x:c r="A23" s="3" t="str">
        <x:v>NOVA-TRX-0058</x:v>
      </x:c>
      <x:c r="B23" s="5" t="n">
        <x:v>46030</x:v>
      </x:c>
      <x:c r="C23" s="5" t="n">
        <x:v>46030</x:v>
      </x:c>
      <x:c r="D23" s="3" t="str">
        <x:v>EMP-101</x:v>
      </x:c>
      <x:c r="E23" s="3" t="str">
        <x:v>Nova Retail S.A.S.</x:v>
      </x:c>
      <x:c r="F23" s="3" t="str">
        <x:v>1101-884422</x:v>
      </x:c>
      <x:c r="G23" s="3" t="str">
        <x:v>Banco Andino</x:v>
      </x:c>
      <x:c r="H23" s="3" t="str">
        <x:v>Egreso</x:v>
      </x:c>
      <x:c r="I23" s="3" t="str">
        <x:v>Impuestos</x:v>
      </x:c>
      <x:c r="J23" s="3" t="str">
        <x:v>Cliente Norte S.A.</x:v>
      </x:c>
      <x:c r="K23" s="3" t="str">
        <x:v>PAG-NOVA-20260058</x:v>
      </x:c>
      <x:c r="L23" s="3" t="str">
        <x:v>COP</x:v>
      </x:c>
      <x:c r="M23" s="7" t="n">
        <x:v>-3839018</x:v>
      </x:c>
      <x:c r="N23" s="7" t="n">
        <x:v>0</x:v>
      </x:c>
      <x:c r="O23" s="7" t="n">
        <x:v>-3839018</x:v>
      </x:c>
      <x:c r="P23" s="3" t="str">
        <x:v>Cheque</x:v>
      </x:c>
      <x:c r="Q23" s="3" t="str">
        <x:v>Administracion</x:v>
      </x:c>
      <x:c r="R23" s="3" t="str">
        <x:v>Bogota</x:v>
      </x:c>
      <x:c r="S23" s="3" t="str">
        <x:v>Colombia</x:v>
      </x:c>
      <x:c r="T23" s="3" t="str">
        <x:v>Carlos Pena</x:v>
      </x:c>
      <x:c r="U23" s="3" t="str">
        <x:v>Duplicado</x:v>
      </x:c>
      <x:c r="V23" s="5" t="n">
        <x:v>46046</x:v>
      </x:c>
      <x:c r="W23" s="9" t="n">
        <x:v>17</x:v>
      </x:c>
      <x:c r="X23" s="3" t="str">
        <x:v>Bajo</x:v>
      </x:c>
      <x:c r="Y23" s="3" t="str">
        <x:v>Debito automatico</x:v>
      </x:c>
      <x:c r="Z23" s="3" t="str"/>
      <x:c r="AA23" s="3" t="str">
        <x:v>Si</x:v>
      </x:c>
      <x:c r="AB23" s="3" t="str">
        <x:v>Conciliacion no cerrada</x:v>
      </x:c>
    </x:row>
    <x:row r="24">
      <x:c r="A24" s="3" t="str">
        <x:v>NOVA-TRX-0017</x:v>
      </x:c>
      <x:c r="B24" s="5" t="n">
        <x:v>46031</x:v>
      </x:c>
      <x:c r="C24" s="5" t="n">
        <x:v>46031</x:v>
      </x:c>
      <x:c r="D24" s="3" t="str">
        <x:v>EMP-101</x:v>
      </x:c>
      <x:c r="E24" s="3" t="str">
        <x:v>Nova Retail S.A.S.</x:v>
      </x:c>
      <x:c r="F24" s="3" t="str">
        <x:v>1101-884422</x:v>
      </x:c>
      <x:c r="G24" s="3" t="str">
        <x:v>Banco Capital</x:v>
      </x:c>
      <x:c r="H24" s="3" t="str">
        <x:v>Egreso</x:v>
      </x:c>
      <x:c r="I24" s="3" t="str">
        <x:v>Nomina</x:v>
      </x:c>
      <x:c r="J24" s="3" t="str">
        <x:v>Cliente Express</x:v>
      </x:c>
      <x:c r="K24" s="3" t="str">
        <x:v>NOM-NOVA-20260017</x:v>
      </x:c>
      <x:c r="L24" s="3" t="str">
        <x:v>COP</x:v>
      </x:c>
      <x:c r="M24" s="7" t="n">
        <x:v>-1210057</x:v>
      </x:c>
      <x:c r="N24" s="7" t="n">
        <x:v>0</x:v>
      </x:c>
      <x:c r="O24" s="7" t="n">
        <x:v>-1210057</x:v>
      </x:c>
      <x:c r="P24" s="3" t="str">
        <x:v>Tarjeta credito</x:v>
      </x:c>
      <x:c r="Q24" s="3" t="str">
        <x:v>Operaciones</x:v>
      </x:c>
      <x:c r="R24" s="3" t="str">
        <x:v>Bogota</x:v>
      </x:c>
      <x:c r="S24" s="3" t="str">
        <x:v>Colombia</x:v>
      </x:c>
      <x:c r="T24" s="3" t="str">
        <x:v>Laura Mejia</x:v>
      </x:c>
      <x:c r="U24" s="3" t="str">
        <x:v>Rechazado</x:v>
      </x:c>
      <x:c r="V24" s="5" t="n">
        <x:v>46044</x:v>
      </x:c>
      <x:c r="W24" s="9" t="n">
        <x:v>19</x:v>
      </x:c>
      <x:c r="X24" s="3" t="str">
        <x:v>Bajo</x:v>
      </x:c>
      <x:c r="Y24" s="3" t="str">
        <x:v>Caja</x:v>
      </x:c>
      <x:c r="Z24" s="3" t="str">
        <x:v>Registro rechazado por validacion bancaria</x:v>
      </x:c>
      <x:c r="AA24" s="3" t="str">
        <x:v>Si</x:v>
      </x:c>
      <x:c r="AB24" s="3" t="str">
        <x:v>Conciliacion no cerrada</x:v>
      </x:c>
    </x:row>
    <x:row r="25">
      <x:c r="A25" s="3" t="str">
        <x:v>NOVA-TRX-0044</x:v>
      </x:c>
      <x:c r="B25" s="5" t="n">
        <x:v>46031</x:v>
      </x:c>
      <x:c r="C25" s="5" t="n">
        <x:v>46032</x:v>
      </x:c>
      <x:c r="D25" s="3" t="str">
        <x:v>EMP-101</x:v>
      </x:c>
      <x:c r="E25" s="3" t="str">
        <x:v>Nova Retail S.A.S.</x:v>
      </x:c>
      <x:c r="F25" s="3" t="str">
        <x:v>1101-884422</x:v>
      </x:c>
      <x:c r="G25" s="3" t="str">
        <x:v>Banco Andino</x:v>
      </x:c>
      <x:c r="H25" s="3" t="str">
        <x:v>Ingreso</x:v>
      </x:c>
      <x:c r="I25" s="3" t="str">
        <x:v>Credito bancario</x:v>
      </x:c>
      <x:c r="J25" s="3" t="str">
        <x:v>Talento Humano</x:v>
      </x:c>
      <x:c r="K25" s="3" t="str">
        <x:v>FAC-NOVA-20260044</x:v>
      </x:c>
      <x:c r="L25" s="3" t="str">
        <x:v>COP</x:v>
      </x:c>
      <x:c r="M25" s="7" t="n">
        <x:v>2941324</x:v>
      </x:c>
      <x:c r="N25" s="7" t="n">
        <x:v>0</x:v>
      </x:c>
      <x:c r="O25" s="7" t="n">
        <x:v>2941324</x:v>
      </x:c>
      <x:c r="P25" s="3" t="str">
        <x:v>Debito automatico</x:v>
      </x:c>
      <x:c r="Q25" s="3" t="str">
        <x:v>Comercial</x:v>
      </x:c>
      <x:c r="R25" s="3" t="str">
        <x:v>Bogota</x:v>
      </x:c>
      <x:c r="S25" s="3" t="str">
        <x:v>Colombia</x:v>
      </x:c>
      <x:c r="T25" s="3" t="str">
        <x:v>Laura Mejia</x:v>
      </x:c>
      <x:c r="U25" s="3" t="str">
        <x:v>Pendiente</x:v>
      </x:c>
      <x:c r="V25" s="5" t="n">
        <x:v>46035</x:v>
      </x:c>
      <x:c r="W25" s="9" t="n">
        <x:v>28</x:v>
      </x:c>
      <x:c r="X25" s="3" t="str">
        <x:v>Bajo</x:v>
      </x:c>
      <x:c r="Y25" s="3" t="str">
        <x:v>Transferencia</x:v>
      </x:c>
      <x:c r="Z25" s="3" t="str"/>
      <x:c r="AA25" s="3" t="str">
        <x:v>Si</x:v>
      </x:c>
      <x:c r="AB25" s="3" t="str">
        <x:v>Conciliacion no cerrada</x:v>
      </x:c>
    </x:row>
    <x:row r="26">
      <x:c r="A26" s="3" t="str">
        <x:v>NOVA-TRX-0060</x:v>
      </x:c>
      <x:c r="B26" s="5" t="n">
        <x:v>46031</x:v>
      </x:c>
      <x:c r="C26" s="5" t="n">
        <x:v>46033</x:v>
      </x:c>
      <x:c r="D26" s="3" t="str">
        <x:v>EMP-101</x:v>
      </x:c>
      <x:c r="E26" s="3" t="str">
        <x:v>Nova Retail S.A.S.</x:v>
      </x:c>
      <x:c r="F26" s="3" t="str">
        <x:v>1101-884422</x:v>
      </x:c>
      <x:c r="G26" s="3" t="str">
        <x:v>Banco Andino</x:v>
      </x:c>
      <x:c r="H26" s="3" t="str">
        <x:v>Ingreso</x:v>
      </x:c>
      <x:c r="I26" s="3" t="str">
        <x:v>Venta nacional</x:v>
      </x:c>
      <x:c r="J26" s="3" t="str">
        <x:v>Proveedor Alfa</x:v>
      </x:c>
      <x:c r="K26" s="3" t="str">
        <x:v>FAC-NOVA-20260060</x:v>
      </x:c>
      <x:c r="L26" s="3" t="str">
        <x:v>COP</x:v>
      </x:c>
      <x:c r="M26" s="7" t="n">
        <x:v>3967260</x:v>
      </x:c>
      <x:c r="N26" s="7" t="n">
        <x:v>753779.4</x:v>
      </x:c>
      <x:c r="O26" s="7" t="n">
        <x:v>4721039.4</x:v>
      </x:c>
      <x:c r="P26" s="3" t="str">
        <x:v>ACH</x:v>
      </x:c>
      <x:c r="Q26" s="3" t="str">
        <x:v>Comercial</x:v>
      </x:c>
      <x:c r="R26" s="3" t="str">
        <x:v>Bogota</x:v>
      </x:c>
      <x:c r="S26" s="3" t="str">
        <x:v>Colombia</x:v>
      </x:c>
      <x:c r="T26" s="3" t="str">
        <x:v>Ana Ruiz</x:v>
      </x:c>
      <x:c r="U26" s="3" t="str">
        <x:v>Pendiente</x:v>
      </x:c>
      <x:c r="V26" s="5" t="n">
        <x:v>46023</x:v>
      </x:c>
      <x:c r="W26" s="9" t="n">
        <x:v>40</x:v>
      </x:c>
      <x:c r="X26" s="3" t="str">
        <x:v>Medio</x:v>
      </x:c>
      <x:c r="Y26" s="3" t="str">
        <x:v>Portal bancario</x:v>
      </x:c>
      <x:c r="Z26" s="3" t="str"/>
      <x:c r="AA26" s="3" t="str">
        <x:v>Si</x:v>
      </x:c>
      <x:c r="AB26" s="3" t="str">
        <x:v>Conciliacion no cerrada</x:v>
      </x:c>
    </x:row>
    <x:row r="27">
      <x:c r="A27" s="3" t="str">
        <x:v>NOVA-TRX-0003</x:v>
      </x:c>
      <x:c r="B27" s="5" t="n">
        <x:v>46032</x:v>
      </x:c>
      <x:c r="C27" s="5" t="n">
        <x:v>46032</x:v>
      </x:c>
      <x:c r="D27" s="3" t="str">
        <x:v>EMP-101</x:v>
      </x:c>
      <x:c r="E27" s="3" t="str">
        <x:v>Nova Retail S.A.S.</x:v>
      </x:c>
      <x:c r="F27" s="3" t="str">
        <x:v>1101-884422</x:v>
      </x:c>
      <x:c r="G27" s="3" t="str">
        <x:v>Banco Capital</x:v>
      </x:c>
      <x:c r="H27" s="3" t="str">
        <x:v>Egreso</x:v>
      </x:c>
      <x:c r="I27" s="3" t="str">
        <x:v>Servicios publicos</x:v>
      </x:c>
      <x:c r="J27" s="3" t="str">
        <x:v>Energia Urbana</x:v>
      </x:c>
      <x:c r="K27" s="3" t="str">
        <x:v>PAG-NOVA-20260003</x:v>
      </x:c>
      <x:c r="L27" s="3" t="str">
        <x:v>COP</x:v>
      </x:c>
      <x:c r="M27" s="7" t="n">
        <x:v>-312363</x:v>
      </x:c>
      <x:c r="N27" s="7" t="n">
        <x:v>-59348.97</x:v>
      </x:c>
      <x:c r="O27" s="7" t="n">
        <x:v>-371711.97</x:v>
      </x:c>
      <x:c r="P27" s="3" t="str">
        <x:v>Cheque</x:v>
      </x:c>
      <x:c r="Q27" s="3" t="str">
        <x:v>Finanzas</x:v>
      </x:c>
      <x:c r="R27" s="3" t="str">
        <x:v>Bogota</x:v>
      </x:c>
      <x:c r="S27" s="3" t="str">
        <x:v>Colombia</x:v>
      </x:c>
      <x:c r="T27" s="3" t="str">
        <x:v>Ana Ruiz</x:v>
      </x:c>
      <x:c r="U27" s="3" t="str">
        <x:v>Conciliado</x:v>
      </x:c>
      <x:c r="V27" s="5" t="n">
        <x:v>46033</x:v>
      </x:c>
      <x:c r="W27" s="9" t="n">
        <x:v>0</x:v>
      </x:c>
      <x:c r="X27" s="3" t="str">
        <x:v>Bajo</x:v>
      </x:c>
      <x:c r="Y27" s="3" t="str">
        <x:v>Tarjeta</x:v>
      </x:c>
      <x:c r="Z27" s="3" t="str"/>
      <x:c r="AA27" s="3" t="str">
        <x:v>No</x:v>
      </x:c>
      <x:c r="AB27" s="3" t="str"/>
    </x:row>
    <x:row r="28">
      <x:c r="A28" s="3" t="str">
        <x:v>NOVA-TRX-0046</x:v>
      </x:c>
      <x:c r="B28" s="5" t="n">
        <x:v>46032</x:v>
      </x:c>
      <x:c r="C28" s="5" t="n">
        <x:v>46032</x:v>
      </x:c>
      <x:c r="D28" s="3" t="str">
        <x:v>EMP-101</x:v>
      </x:c>
      <x:c r="E28" s="3" t="str">
        <x:v>Nova Retail S.A.S.</x:v>
      </x:c>
      <x:c r="F28" s="3" t="str">
        <x:v>1101-884422</x:v>
      </x:c>
      <x:c r="G28" s="3" t="str">
        <x:v>Banco Andino</x:v>
      </x:c>
      <x:c r="H28" s="3" t="str">
        <x:v>Egreso</x:v>
      </x:c>
      <x:c r="I28" s="3" t="str">
        <x:v>Comision bancaria</x:v>
      </x:c>
      <x:c r="J28" s="3" t="str">
        <x:v>Financiera Sur</x:v>
      </x:c>
      <x:c r="K28" s="3" t="str">
        <x:v>PAG-NOVA-20260046</x:v>
      </x:c>
      <x:c r="L28" s="3" t="str">
        <x:v>COP</x:v>
      </x:c>
      <x:c r="M28" s="7" t="n">
        <x:v>-3069566</x:v>
      </x:c>
      <x:c r="N28" s="7" t="n">
        <x:v>0</x:v>
      </x:c>
      <x:c r="O28" s="7" t="n">
        <x:v>-3069566</x:v>
      </x:c>
      <x:c r="P28" s="3" t="str">
        <x:v>Transferencia local</x:v>
      </x:c>
      <x:c r="Q28" s="3" t="str"/>
      <x:c r="R28" s="3" t="str">
        <x:v>Bogota</x:v>
      </x:c>
      <x:c r="S28" s="3" t="str">
        <x:v>Colombia</x:v>
      </x:c>
      <x:c r="T28" s="3" t="str">
        <x:v>Carlos Pena</x:v>
      </x:c>
      <x:c r="U28" s="3" t="str">
        <x:v>Conciliado</x:v>
      </x:c>
      <x:c r="V28" s="5" t="n">
        <x:v>46042</x:v>
      </x:c>
      <x:c r="W28" s="9" t="n">
        <x:v>0</x:v>
      </x:c>
      <x:c r="X28" s="3" t="str">
        <x:v>Bajo</x:v>
      </x:c>
      <x:c r="Y28" s="3" t="str">
        <x:v>Debito automatico</x:v>
      </x:c>
      <x:c r="Z28" s="3" t="str"/>
      <x:c r="AA28" s="3" t="str">
        <x:v>Si</x:v>
      </x:c>
      <x:c r="AB28" s="3" t="str">
        <x:v>Centro de costo vacio</x:v>
      </x:c>
    </x:row>
    <x:row r="29">
      <x:c r="A29" s="3" t="str">
        <x:v>NOVA-TRX-0005</x:v>
      </x:c>
      <x:c r="B29" s="5" t="n">
        <x:v>46033</x:v>
      </x:c>
      <x:c r="C29" s="5" t="n">
        <x:v>46033</x:v>
      </x:c>
      <x:c r="D29" s="3" t="str">
        <x:v>EMP-101</x:v>
      </x:c>
      <x:c r="E29" s="3" t="str">
        <x:v>Nova Retail S.A.S.</x:v>
      </x:c>
      <x:c r="F29" s="3" t="str">
        <x:v>1101-884422</x:v>
      </x:c>
      <x:c r="G29" s="3" t="str">
        <x:v>Banco Capital</x:v>
      </x:c>
      <x:c r="H29" s="3" t="str">
        <x:v>Ingreso</x:v>
      </x:c>
      <x:c r="I29" s="3" t="str">
        <x:v>Credito bancario</x:v>
      </x:c>
      <x:c r="J29" s="3" t="str">
        <x:v>Arrendadora Centro</x:v>
      </x:c>
      <x:c r="K29" s="3" t="str">
        <x:v>FAC-NOVA-20260005</x:v>
      </x:c>
      <x:c r="L29" s="3" t="str">
        <x:v>COP</x:v>
      </x:c>
      <x:c r="M29" s="7" t="n">
        <x:v>440605</x:v>
      </x:c>
      <x:c r="N29" s="7" t="n">
        <x:v>0</x:v>
      </x:c>
      <x:c r="O29" s="7" t="n">
        <x:v>440605</x:v>
      </x:c>
      <x:c r="P29" s="3" t="str">
        <x:v>ACH</x:v>
      </x:c>
      <x:c r="Q29" s="3" t="str">
        <x:v>Operaciones</x:v>
      </x:c>
      <x:c r="R29" s="3" t="str">
        <x:v>Bogota</x:v>
      </x:c>
      <x:c r="S29" s="3" t="str">
        <x:v>Colombia</x:v>
      </x:c>
      <x:c r="T29" s="3" t="str">
        <x:v>Laura Mejia</x:v>
      </x:c>
      <x:c r="U29" s="3" t="str">
        <x:v>Conciliado</x:v>
      </x:c>
      <x:c r="V29" s="5" t="n">
        <x:v>46040</x:v>
      </x:c>
      <x:c r="W29" s="9" t="n">
        <x:v>0</x:v>
      </x:c>
      <x:c r="X29" s="3" t="str">
        <x:v>Bajo</x:v>
      </x:c>
      <x:c r="Y29" s="3" t="str">
        <x:v>Caja</x:v>
      </x:c>
      <x:c r="Z29" s="3" t="str"/>
      <x:c r="AA29" s="3" t="str">
        <x:v>No</x:v>
      </x:c>
      <x:c r="AB29" s="3" t="str"/>
    </x:row>
    <x:row r="30">
      <x:c r="A30" s="3" t="str">
        <x:v>NOVA-TRX-0032</x:v>
      </x:c>
      <x:c r="B30" s="5" t="n">
        <x:v>46033</x:v>
      </x:c>
      <x:c r="C30" s="5" t="n">
        <x:v>46034</x:v>
      </x:c>
      <x:c r="D30" s="3" t="str">
        <x:v>EMP-101</x:v>
      </x:c>
      <x:c r="E30" s="3" t="str">
        <x:v>Nova Retail S.A.S.</x:v>
      </x:c>
      <x:c r="F30" s="3" t="str">
        <x:v>1101-884422</x:v>
      </x:c>
      <x:c r="G30" s="3" t="str">
        <x:v>Banco Andino</x:v>
      </x:c>
      <x:c r="H30" s="3" t="str">
        <x:v>Egreso</x:v>
      </x:c>
      <x:c r="I30" s="3" t="str">
        <x:v>Pago proveedor</x:v>
      </x:c>
      <x:c r="J30" s="3" t="str">
        <x:v>Aduanas Global</x:v>
      </x:c>
      <x:c r="K30" s="3" t="str">
        <x:v>PAG-NOVA-20260032</x:v>
      </x:c>
      <x:c r="L30" s="3" t="str">
        <x:v>COP</x:v>
      </x:c>
      <x:c r="M30" s="7" t="n">
        <x:v>-2171872</x:v>
      </x:c>
      <x:c r="N30" s="7" t="n">
        <x:v>-412655.68</x:v>
      </x:c>
      <x:c r="O30" s="7" t="n">
        <x:v>-2584527.68</x:v>
      </x:c>
      <x:c r="P30" s="3" t="str">
        <x:v>Tarjeta credito</x:v>
      </x:c>
      <x:c r="Q30" s="3" t="str">
        <x:v>Comercial</x:v>
      </x:c>
      <x:c r="R30" s="3" t="str">
        <x:v>Bogota</x:v>
      </x:c>
      <x:c r="S30" s="3" t="str">
        <x:v>Colombia</x:v>
      </x:c>
      <x:c r="T30" s="3" t="str">
        <x:v>Laura Mejia</x:v>
      </x:c>
      <x:c r="U30" s="3" t="str">
        <x:v>Pendiente</x:v>
      </x:c>
      <x:c r="V30" s="5" t="n">
        <x:v>46031</x:v>
      </x:c>
      <x:c r="W30" s="9" t="n">
        <x:v>32</x:v>
      </x:c>
      <x:c r="X30" s="3" t="str">
        <x:v>Medio</x:v>
      </x:c>
      <x:c r="Y30" s="3" t="str">
        <x:v>Transferencia</x:v>
      </x:c>
      <x:c r="Z30" s="3" t="str"/>
      <x:c r="AA30" s="3" t="str">
        <x:v>Si</x:v>
      </x:c>
      <x:c r="AB30" s="3" t="str">
        <x:v>Conciliacion no cerrada</x:v>
      </x:c>
    </x:row>
    <x:row r="31">
      <x:c r="A31" s="3" t="str">
        <x:v>NOVA-TRX-0059</x:v>
      </x:c>
      <x:c r="B31" s="5" t="n">
        <x:v>46033</x:v>
      </x:c>
      <x:c r="C31" s="5" t="n">
        <x:v>46033</x:v>
      </x:c>
      <x:c r="D31" s="3" t="str">
        <x:v>EMP-101</x:v>
      </x:c>
      <x:c r="E31" s="3" t="str">
        <x:v>Nova Retail S.A.S.</x:v>
      </x:c>
      <x:c r="F31" s="3" t="str">
        <x:v>1101-884422</x:v>
      </x:c>
      <x:c r="G31" s="3" t="str">
        <x:v>Banco Capital</x:v>
      </x:c>
      <x:c r="H31" s="3" t="str">
        <x:v>Egreso</x:v>
      </x:c>
      <x:c r="I31" s="3" t="str">
        <x:v>Servicios publicos</x:v>
      </x:c>
      <x:c r="J31" s="3" t="str">
        <x:v>Distribuidora Delta</x:v>
      </x:c>
      <x:c r="K31" s="3" t="str">
        <x:v>PAG-NOVA-20260059</x:v>
      </x:c>
      <x:c r="L31" s="3" t="str">
        <x:v>COP</x:v>
      </x:c>
      <x:c r="M31" s="7" t="n">
        <x:v>-3903139</x:v>
      </x:c>
      <x:c r="N31" s="7" t="n">
        <x:v>-741596.41</x:v>
      </x:c>
      <x:c r="O31" s="7" t="n">
        <x:v>-4644735.41</x:v>
      </x:c>
      <x:c r="P31" s="3" t="str">
        <x:v>Debito automatico</x:v>
      </x:c>
      <x:c r="Q31" s="3" t="str">
        <x:v>Finanzas</x:v>
      </x:c>
      <x:c r="R31" s="3" t="str">
        <x:v>Bogota</x:v>
      </x:c>
      <x:c r="S31" s="3" t="str">
        <x:v>Colombia</x:v>
      </x:c>
      <x:c r="T31" s="3" t="str">
        <x:v>Laura Mejia</x:v>
      </x:c>
      <x:c r="U31" s="3" t="str">
        <x:v>Conciliado</x:v>
      </x:c>
      <x:c r="V31" s="5" t="n">
        <x:v>46052</x:v>
      </x:c>
      <x:c r="W31" s="9" t="n">
        <x:v>0</x:v>
      </x:c>
      <x:c r="X31" s="3" t="str">
        <x:v>Bajo</x:v>
      </x:c>
      <x:c r="Y31" s="3" t="str">
        <x:v>Caja</x:v>
      </x:c>
      <x:c r="Z31" s="3" t="str"/>
      <x:c r="AA31" s="3" t="str">
        <x:v>No</x:v>
      </x:c>
      <x:c r="AB31" s="3" t="str"/>
    </x:row>
    <x:row r="32">
      <x:c r="A32" s="3" t="str">
        <x:v>NOVA-TRX-0018</x:v>
      </x:c>
      <x:c r="B32" s="5" t="n">
        <x:v>46034</x:v>
      </x:c>
      <x:c r="C32" s="5" t="n">
        <x:v>46036</x:v>
      </x:c>
      <x:c r="D32" s="3" t="str">
        <x:v>EMP-101</x:v>
      </x:c>
      <x:c r="E32" s="3" t="str">
        <x:v>Nova Retail S.A.S.</x:v>
      </x:c>
      <x:c r="F32" s="3" t="str">
        <x:v>1101-884422</x:v>
      </x:c>
      <x:c r="G32" s="3" t="str">
        <x:v>Banco Andino</x:v>
      </x:c>
      <x:c r="H32" s="3" t="str">
        <x:v>Egreso</x:v>
      </x:c>
      <x:c r="I32" s="3" t="str">
        <x:v>Impuestos</x:v>
      </x:c>
      <x:c r="J32" s="3" t="str">
        <x:v>Cliente Norte S.A.</x:v>
      </x:c>
      <x:c r="K32" s="3" t="str">
        <x:v>PAG-NOVA-20260018</x:v>
      </x:c>
      <x:c r="L32" s="3" t="str">
        <x:v>COP</x:v>
      </x:c>
      <x:c r="M32" s="7" t="n">
        <x:v>-1274178</x:v>
      </x:c>
      <x:c r="N32" s="7" t="n">
        <x:v>0</x:v>
      </x:c>
      <x:c r="O32" s="7" t="n">
        <x:v>-1274178</x:v>
      </x:c>
      <x:c r="P32" s="3" t="str">
        <x:v>Cheque</x:v>
      </x:c>
      <x:c r="Q32" s="3" t="str">
        <x:v>Administracion</x:v>
      </x:c>
      <x:c r="R32" s="3" t="str">
        <x:v>Bogota</x:v>
      </x:c>
      <x:c r="S32" s="3" t="str">
        <x:v>Colombia</x:v>
      </x:c>
      <x:c r="T32" s="3" t="str">
        <x:v>Ana Ruiz</x:v>
      </x:c>
      <x:c r="U32" s="3" t="str">
        <x:v>Conciliado</x:v>
      </x:c>
      <x:c r="V32" s="5" t="n">
        <x:v>46050</x:v>
      </x:c>
      <x:c r="W32" s="9" t="n">
        <x:v>0</x:v>
      </x:c>
      <x:c r="X32" s="3" t="str">
        <x:v>Bajo</x:v>
      </x:c>
      <x:c r="Y32" s="3" t="str">
        <x:v>Portal bancario</x:v>
      </x:c>
      <x:c r="Z32" s="3" t="str"/>
      <x:c r="AA32" s="3" t="str">
        <x:v>No</x:v>
      </x:c>
      <x:c r="AB32" s="3" t="str"/>
    </x:row>
    <x:row r="33">
      <x:c r="A33" s="3" t="str">
        <x:v>NOVA-TRX-0061</x:v>
      </x:c>
      <x:c r="B33" s="5" t="n">
        <x:v>46034</x:v>
      </x:c>
      <x:c r="C33" s="5" t="n">
        <x:v>46034</x:v>
      </x:c>
      <x:c r="D33" s="3" t="str">
        <x:v>EMP-101</x:v>
      </x:c>
      <x:c r="E33" s="3" t="str">
        <x:v>Nova Retail S.A.S.</x:v>
      </x:c>
      <x:c r="F33" s="3" t="str">
        <x:v>1101-884422</x:v>
      </x:c>
      <x:c r="G33" s="3" t="str">
        <x:v>Banco Capital</x:v>
      </x:c>
      <x:c r="H33" s="3" t="str">
        <x:v>Egreso</x:v>
      </x:c>
      <x:c r="I33" s="3" t="str">
        <x:v>Reembolso</x:v>
      </x:c>
      <x:c r="J33" s="3" t="str">
        <x:v>Servicios Beta</x:v>
      </x:c>
      <x:c r="K33" s="3" t="str">
        <x:v>PAG-NOVA-20260061</x:v>
      </x:c>
      <x:c r="L33" s="3" t="str">
        <x:v>COP</x:v>
      </x:c>
      <x:c r="M33" s="7" t="n">
        <x:v>-4031381</x:v>
      </x:c>
      <x:c r="N33" s="7" t="n">
        <x:v>0</x:v>
      </x:c>
      <x:c r="O33" s="7" t="n">
        <x:v>-4031381</x:v>
      </x:c>
      <x:c r="P33" s="3" t="str">
        <x:v>Transferencia local</x:v>
      </x:c>
      <x:c r="Q33" s="3" t="str">
        <x:v>Operaciones</x:v>
      </x:c>
      <x:c r="R33" s="3" t="str">
        <x:v>Bogota</x:v>
      </x:c>
      <x:c r="S33" s="3" t="str">
        <x:v>Colombia</x:v>
      </x:c>
      <x:c r="T33" s="3" t="str">
        <x:v>Carlos Pena</x:v>
      </x:c>
      <x:c r="U33" s="3" t="str">
        <x:v>Conciliado</x:v>
      </x:c>
      <x:c r="V33" s="5" t="n">
        <x:v>46029</x:v>
      </x:c>
      <x:c r="W33" s="9" t="n">
        <x:v>0</x:v>
      </x:c>
      <x:c r="X33" s="3" t="str">
        <x:v>Bajo</x:v>
      </x:c>
      <x:c r="Y33" s="3" t="str">
        <x:v>PSE</x:v>
      </x:c>
      <x:c r="Z33" s="3" t="str"/>
      <x:c r="AA33" s="3" t="str">
        <x:v>No</x:v>
      </x:c>
      <x:c r="AB33" s="3" t="str"/>
    </x:row>
    <x:row r="34">
      <x:c r="A34" s="3" t="str">
        <x:v>NOVA-TRX-0004</x:v>
      </x:c>
      <x:c r="B34" s="5" t="n">
        <x:v>46035</x:v>
      </x:c>
      <x:c r="C34" s="5" t="n">
        <x:v>46036</x:v>
      </x:c>
      <x:c r="D34" s="3" t="str">
        <x:v>EMP-101</x:v>
      </x:c>
      <x:c r="E34" s="3" t="str">
        <x:v>Nova Retail S.A.S.</x:v>
      </x:c>
      <x:c r="F34" s="3" t="str">
        <x:v>1101-884422</x:v>
      </x:c>
      <x:c r="G34" s="3" t="str">
        <x:v>Banco Andino</x:v>
      </x:c>
      <x:c r="H34" s="3" t="str">
        <x:v>Egreso</x:v>
      </x:c>
      <x:c r="I34" s="3" t="str">
        <x:v>Arriendo</x:v>
      </x:c>
      <x:c r="J34" s="3" t="str">
        <x:v>Talento Humano</x:v>
      </x:c>
      <x:c r="K34" s="3" t="str">
        <x:v>PAG-NOVA-20260004</x:v>
      </x:c>
      <x:c r="L34" s="3" t="str">
        <x:v>COP</x:v>
      </x:c>
      <x:c r="M34" s="7" t="n">
        <x:v>-376484</x:v>
      </x:c>
      <x:c r="N34" s="7" t="n">
        <x:v>-71531.96</x:v>
      </x:c>
      <x:c r="O34" s="7" t="n">
        <x:v>-448015.96</x:v>
      </x:c>
      <x:c r="P34" s="3" t="str">
        <x:v>Debito automatico</x:v>
      </x:c>
      <x:c r="Q34" s="3" t="str">
        <x:v>Comercial</x:v>
      </x:c>
      <x:c r="R34" s="3" t="str">
        <x:v>Bogota</x:v>
      </x:c>
      <x:c r="S34" s="3" t="str">
        <x:v>Colombia</x:v>
      </x:c>
      <x:c r="T34" s="3" t="str">
        <x:v>Carlos Pena</x:v>
      </x:c>
      <x:c r="U34" s="3" t="str">
        <x:v>Pendiente</x:v>
      </x:c>
      <x:c r="V34" s="5" t="n">
        <x:v>46039</x:v>
      </x:c>
      <x:c r="W34" s="9" t="n">
        <x:v>24</x:v>
      </x:c>
      <x:c r="X34" s="3" t="str">
        <x:v>Bajo</x:v>
      </x:c>
      <x:c r="Y34" s="3" t="str">
        <x:v>Debito automatico</x:v>
      </x:c>
      <x:c r="Z34" s="3" t="str"/>
      <x:c r="AA34" s="3" t="str">
        <x:v>Si</x:v>
      </x:c>
      <x:c r="AB34" s="3" t="str">
        <x:v>Conciliacion no cerrada</x:v>
      </x:c>
    </x:row>
    <x:row r="35">
      <x:c r="A35" s="3" t="str">
        <x:v>NOVA-TRX-0020</x:v>
      </x:c>
      <x:c r="B35" s="5" t="n">
        <x:v>46035</x:v>
      </x:c>
      <x:c r="C35" s="5" t="n">
        <x:v>46036</x:v>
      </x:c>
      <x:c r="D35" s="3" t="str">
        <x:v>EMP-101</x:v>
      </x:c>
      <x:c r="E35" s="3" t="str">
        <x:v>Nova Retail S.A.S.</x:v>
      </x:c>
      <x:c r="F35" s="3" t="str">
        <x:v>1101-884422</x:v>
      </x:c>
      <x:c r="G35" s="3" t="str">
        <x:v>Banco Andino</x:v>
      </x:c>
      <x:c r="H35" s="3" t="str">
        <x:v>Ingreso</x:v>
      </x:c>
      <x:c r="I35" s="3" t="str">
        <x:v>Credito bancario</x:v>
      </x:c>
      <x:c r="J35" s="3" t="str">
        <x:v>Proveedor Alfa</x:v>
      </x:c>
      <x:c r="K35" s="3" t="str">
        <x:v>FAC-NOVA-20260020</x:v>
      </x:c>
      <x:c r="L35" s="3" t="str">
        <x:v>COP</x:v>
      </x:c>
      <x:c r="M35" s="7" t="n">
        <x:v>1402420</x:v>
      </x:c>
      <x:c r="N35" s="7" t="n">
        <x:v>0</x:v>
      </x:c>
      <x:c r="O35" s="7" t="n">
        <x:v>1402420</x:v>
      </x:c>
      <x:c r="P35" s="3" t="str">
        <x:v>ACH</x:v>
      </x:c>
      <x:c r="Q35" s="3" t="str">
        <x:v>Comercial</x:v>
      </x:c>
      <x:c r="R35" s="3" t="str">
        <x:v>Bogota</x:v>
      </x:c>
      <x:c r="S35" s="3" t="str">
        <x:v>Colombia</x:v>
      </x:c>
      <x:c r="T35" s="3" t="str">
        <x:v>Laura Mejia</x:v>
      </x:c>
      <x:c r="U35" s="3" t="str">
        <x:v>Pendiente</x:v>
      </x:c>
      <x:c r="V35" s="5" t="n">
        <x:v>46027</x:v>
      </x:c>
      <x:c r="W35" s="9" t="n">
        <x:v>36</x:v>
      </x:c>
      <x:c r="X35" s="3" t="str">
        <x:v>Medio</x:v>
      </x:c>
      <x:c r="Y35" s="3" t="str">
        <x:v>Transferencia</x:v>
      </x:c>
      <x:c r="Z35" s="3" t="str"/>
      <x:c r="AA35" s="3" t="str">
        <x:v>Si</x:v>
      </x:c>
      <x:c r="AB35" s="3" t="str">
        <x:v>Conciliacion no cerrada</x:v>
      </x:c>
    </x:row>
    <x:row r="36">
      <x:c r="A36" s="3" t="str">
        <x:v>NOVA-TRX-0047</x:v>
      </x:c>
      <x:c r="B36" s="5" t="n">
        <x:v>46035</x:v>
      </x:c>
      <x:c r="C36" s="5" t="n">
        <x:v>46035</x:v>
      </x:c>
      <x:c r="D36" s="3" t="str">
        <x:v>EMP-101</x:v>
      </x:c>
      <x:c r="E36" s="3" t="str">
        <x:v>Nova Retail S.A.S.</x:v>
      </x:c>
      <x:c r="F36" s="3" t="str">
        <x:v>1101-884422</x:v>
      </x:c>
      <x:c r="G36" s="3" t="str">
        <x:v>Banco Capital</x:v>
      </x:c>
      <x:c r="H36" s="3" t="str">
        <x:v>Egreso</x:v>
      </x:c>
      <x:c r="I36" s="3" t="str">
        <x:v>Credito bancario</x:v>
      </x:c>
      <x:c r="J36" s="3" t="str">
        <x:v>Cliente Express</x:v>
      </x:c>
      <x:c r="K36" s="3" t="str">
        <x:v>PAG-NOVA-20260047</x:v>
      </x:c>
      <x:c r="L36" s="3" t="str">
        <x:v>COP</x:v>
      </x:c>
      <x:c r="M36" s="7" t="n">
        <x:v>-3133687</x:v>
      </x:c>
      <x:c r="N36" s="7" t="n">
        <x:v>0</x:v>
      </x:c>
      <x:c r="O36" s="7" t="n">
        <x:v>-3133687</x:v>
      </x:c>
      <x:c r="P36" s="3" t="str">
        <x:v>Tarjeta credito</x:v>
      </x:c>
      <x:c r="Q36" s="3" t="str">
        <x:v>Finanzas</x:v>
      </x:c>
      <x:c r="R36" s="3" t="str">
        <x:v>Bogota</x:v>
      </x:c>
      <x:c r="S36" s="3" t="str">
        <x:v>Colombia</x:v>
      </x:c>
      <x:c r="T36" s="3" t="str">
        <x:v>Laura Mejia</x:v>
      </x:c>
      <x:c r="U36" s="3" t="str">
        <x:v>Conciliado</x:v>
      </x:c>
      <x:c r="V36" s="5" t="n">
        <x:v>46048</x:v>
      </x:c>
      <x:c r="W36" s="9" t="n">
        <x:v>0</x:v>
      </x:c>
      <x:c r="X36" s="3" t="str">
        <x:v>Bajo</x:v>
      </x:c>
      <x:c r="Y36" s="3" t="str">
        <x:v>Caja</x:v>
      </x:c>
      <x:c r="Z36" s="3" t="str"/>
      <x:c r="AA36" s="3" t="str">
        <x:v>No</x:v>
      </x:c>
      <x:c r="AB36" s="3" t="str"/>
    </x:row>
    <x:row r="37">
      <x:c r="A37" s="3" t="str">
        <x:v>NOVA-TRX-0006</x:v>
      </x:c>
      <x:c r="B37" s="5" t="n">
        <x:v>46036</x:v>
      </x:c>
      <x:c r="C37" s="5" t="n">
        <x:v>46038</x:v>
      </x:c>
      <x:c r="D37" s="3" t="str">
        <x:v>EMP-101</x:v>
      </x:c>
      <x:c r="E37" s="3" t="str">
        <x:v>Nova Retail S.A.S.</x:v>
      </x:c>
      <x:c r="F37" s="3" t="str">
        <x:v>1101-884422</x:v>
      </x:c>
      <x:c r="G37" s="3" t="str">
        <x:v>Banco Andino</x:v>
      </x:c>
      <x:c r="H37" s="3" t="str">
        <x:v>Egreso</x:v>
      </x:c>
      <x:c r="I37" s="3" t="str">
        <x:v>Comision bancaria</x:v>
      </x:c>
      <x:c r="J37" s="3" t="str">
        <x:v>Financiera Sur</x:v>
      </x:c>
      <x:c r="K37" s="3" t="str">
        <x:v>PAG-NOVA-20260006</x:v>
      </x:c>
      <x:c r="L37" s="3" t="str">
        <x:v>COP</x:v>
      </x:c>
      <x:c r="M37" s="7" t="n">
        <x:v>-504726</x:v>
      </x:c>
      <x:c r="N37" s="7" t="n">
        <x:v>0</x:v>
      </x:c>
      <x:c r="O37" s="7" t="n">
        <x:v>-504726</x:v>
      </x:c>
      <x:c r="P37" s="3" t="str">
        <x:v>Transferencia local</x:v>
      </x:c>
      <x:c r="Q37" s="3" t="str">
        <x:v>Administracion</x:v>
      </x:c>
      <x:c r="R37" s="3" t="str">
        <x:v>Bogota</x:v>
      </x:c>
      <x:c r="S37" s="3" t="str">
        <x:v>Colombia</x:v>
      </x:c>
      <x:c r="T37" s="3" t="str">
        <x:v>Ana Ruiz</x:v>
      </x:c>
      <x:c r="U37" s="3" t="str">
        <x:v>Conciliado</x:v>
      </x:c>
      <x:c r="V37" s="5" t="n">
        <x:v>46046</x:v>
      </x:c>
      <x:c r="W37" s="9" t="n">
        <x:v>0</x:v>
      </x:c>
      <x:c r="X37" s="3" t="str">
        <x:v>Bajo</x:v>
      </x:c>
      <x:c r="Y37" s="3" t="str">
        <x:v>Portal bancario</x:v>
      </x:c>
      <x:c r="Z37" s="3" t="str"/>
      <x:c r="AA37" s="3" t="str">
        <x:v>No</x:v>
      </x:c>
      <x:c r="AB37" s="3" t="str"/>
    </x:row>
    <x:row r="38">
      <x:c r="A38" s="3" t="str">
        <x:v>NOVA-TRX-0033</x:v>
      </x:c>
      <x:c r="B38" s="5" t="n">
        <x:v>46036</x:v>
      </x:c>
      <x:c r="C38" s="5" t="n">
        <x:v>46036</x:v>
      </x:c>
      <x:c r="D38" s="3" t="str">
        <x:v>EMP-101</x:v>
      </x:c>
      <x:c r="E38" s="3" t="str">
        <x:v>Nova Retail S.A.S.</x:v>
      </x:c>
      <x:c r="F38" s="3" t="str">
        <x:v>1101-884422</x:v>
      </x:c>
      <x:c r="G38" s="3" t="str">
        <x:v>Banco Capital</x:v>
      </x:c>
      <x:c r="H38" s="3" t="str">
        <x:v>Ingreso</x:v>
      </x:c>
      <x:c r="I38" s="3" t="str">
        <x:v>Venta nacional</x:v>
      </x:c>
      <x:c r="J38" s="3" t="str">
        <x:v>Energia Urbana</x:v>
      </x:c>
      <x:c r="K38" s="3" t="str">
        <x:v>FAC-NOVA-20260033</x:v>
      </x:c>
      <x:c r="L38" s="3" t="str">
        <x:v>COP</x:v>
      </x:c>
      <x:c r="M38" s="7" t="n">
        <x:v>2235993</x:v>
      </x:c>
      <x:c r="N38" s="7" t="n">
        <x:v>424838.67</x:v>
      </x:c>
      <x:c r="O38" s="7" t="n">
        <x:v>2660831.67</x:v>
      </x:c>
      <x:c r="P38" s="3" t="str">
        <x:v>Cheque</x:v>
      </x:c>
      <x:c r="Q38" s="3" t="str">
        <x:v>Operaciones</x:v>
      </x:c>
      <x:c r="R38" s="3" t="str">
        <x:v>Bogota</x:v>
      </x:c>
      <x:c r="S38" s="3" t="str">
        <x:v>Colombia</x:v>
      </x:c>
      <x:c r="T38" s="3" t="str">
        <x:v>Ana Ruiz</x:v>
      </x:c>
      <x:c r="U38" s="3" t="str">
        <x:v>Conciliado</x:v>
      </x:c>
      <x:c r="V38" s="5" t="n">
        <x:v>46037</x:v>
      </x:c>
      <x:c r="W38" s="9" t="n">
        <x:v>0</x:v>
      </x:c>
      <x:c r="X38" s="3" t="str">
        <x:v>Bajo</x:v>
      </x:c>
      <x:c r="Y38" s="3" t="str">
        <x:v>Tarjeta</x:v>
      </x:c>
      <x:c r="Z38" s="3" t="str"/>
      <x:c r="AA38" s="3" t="str">
        <x:v>No</x:v>
      </x:c>
      <x:c r="AB38" s="3" t="str"/>
    </x:row>
    <x:row r="39">
      <x:c r="A39" s="3" t="str">
        <x:v>NOVA-TRX-0019</x:v>
      </x:c>
      <x:c r="B39" s="5" t="n">
        <x:v>46037</x:v>
      </x:c>
      <x:c r="C39" s="5" t="n">
        <x:v>46037</x:v>
      </x:c>
      <x:c r="D39" s="3" t="str">
        <x:v>EMP-101</x:v>
      </x:c>
      <x:c r="E39" s="3" t="str">
        <x:v>Nova Retail S.A.S.</x:v>
      </x:c>
      <x:c r="F39" s="3" t="str">
        <x:v>1101-884422</x:v>
      </x:c>
      <x:c r="G39" s="3" t="str">
        <x:v>Banco Capital</x:v>
      </x:c>
      <x:c r="H39" s="3" t="str">
        <x:v>Egreso</x:v>
      </x:c>
      <x:c r="I39" s="3" t="str">
        <x:v>Servicios publicos</x:v>
      </x:c>
      <x:c r="J39" s="3" t="str">
        <x:v>Distribuidora Delta</x:v>
      </x:c>
      <x:c r="K39" s="3" t="str"/>
      <x:c r="L39" s="3" t="str">
        <x:v>COP</x:v>
      </x:c>
      <x:c r="M39" s="7" t="n">
        <x:v>-1338299</x:v>
      </x:c>
      <x:c r="N39" s="7" t="n">
        <x:v>-254276.81</x:v>
      </x:c>
      <x:c r="O39" s="7" t="n">
        <x:v>-1592575.81</x:v>
      </x:c>
      <x:c r="P39" s="3" t="str">
        <x:v>Debito automatico</x:v>
      </x:c>
      <x:c r="Q39" s="3" t="str">
        <x:v>Finanzas</x:v>
      </x:c>
      <x:c r="R39" s="3" t="str">
        <x:v>Bogota</x:v>
      </x:c>
      <x:c r="S39" s="3" t="str">
        <x:v>Colombia</x:v>
      </x:c>
      <x:c r="T39" s="3" t="str">
        <x:v>Carlos Pena</x:v>
      </x:c>
      <x:c r="U39" s="3" t="str">
        <x:v>Conciliado</x:v>
      </x:c>
      <x:c r="V39" s="5" t="n">
        <x:v>46056</x:v>
      </x:c>
      <x:c r="W39" s="9" t="n">
        <x:v>0</x:v>
      </x:c>
      <x:c r="X39" s="3" t="str">
        <x:v>Bajo</x:v>
      </x:c>
      <x:c r="Y39" s="3" t="str">
        <x:v>PSE</x:v>
      </x:c>
      <x:c r="Z39" s="3" t="str">
        <x:v>Soporte pendiente</x:v>
      </x:c>
      <x:c r="AA39" s="3" t="str">
        <x:v>Si</x:v>
      </x:c>
      <x:c r="AB39" s="3" t="str">
        <x:v>Documento faltante</x:v>
      </x:c>
    </x:row>
    <x:row r="40">
      <x:c r="A40" s="3" t="str">
        <x:v>NOVA-TRX-0035</x:v>
      </x:c>
      <x:c r="B40" s="5" t="n">
        <x:v>46037</x:v>
      </x:c>
      <x:c r="C40" s="5" t="n">
        <x:v>46037</x:v>
      </x:c>
      <x:c r="D40" s="3" t="str">
        <x:v>EMP-101</x:v>
      </x:c>
      <x:c r="E40" s="3" t="str">
        <x:v>Nova Retail S.A.S.</x:v>
      </x:c>
      <x:c r="F40" s="3" t="str">
        <x:v>1101-884422</x:v>
      </x:c>
      <x:c r="G40" s="3" t="str">
        <x:v>Banco Capital</x:v>
      </x:c>
      <x:c r="H40" s="3" t="str">
        <x:v>Ingreso</x:v>
      </x:c>
      <x:c r="I40" s="3" t="str">
        <x:v>Credito bancario</x:v>
      </x:c>
      <x:c r="J40" s="3" t="str">
        <x:v>Arrendadora Centro</x:v>
      </x:c>
      <x:c r="K40" s="3" t="str">
        <x:v>FAC-NOVA-20260035</x:v>
      </x:c>
      <x:c r="L40" s="3" t="str">
        <x:v>COP</x:v>
      </x:c>
      <x:c r="M40" s="7" t="n">
        <x:v>2364235</x:v>
      </x:c>
      <x:c r="N40" s="7" t="n">
        <x:v>0</x:v>
      </x:c>
      <x:c r="O40" s="7" t="n">
        <x:v>2364235</x:v>
      </x:c>
      <x:c r="P40" s="3" t="str">
        <x:v>ACH</x:v>
      </x:c>
      <x:c r="Q40" s="3" t="str">
        <x:v>Finanzas</x:v>
      </x:c>
      <x:c r="R40" s="3" t="str">
        <x:v>Bogota</x:v>
      </x:c>
      <x:c r="S40" s="3" t="str">
        <x:v>Colombia</x:v>
      </x:c>
      <x:c r="T40" s="3" t="str">
        <x:v>Laura Mejia</x:v>
      </x:c>
      <x:c r="U40" s="3" t="str">
        <x:v>Conciliado</x:v>
      </x:c>
      <x:c r="V40" s="5" t="n">
        <x:v>46044</x:v>
      </x:c>
      <x:c r="W40" s="9" t="n">
        <x:v>0</x:v>
      </x:c>
      <x:c r="X40" s="3" t="str">
        <x:v>Bajo</x:v>
      </x:c>
      <x:c r="Y40" s="3" t="str">
        <x:v>Caja</x:v>
      </x:c>
      <x:c r="Z40" s="3" t="str"/>
      <x:c r="AA40" s="3" t="str">
        <x:v>No</x:v>
      </x:c>
      <x:c r="AB40" s="3" t="str"/>
    </x:row>
    <x:row r="41">
      <x:c r="A41" s="3" t="str">
        <x:v>NOVA-TRX-0062</x:v>
      </x:c>
      <x:c r="B41" s="5" t="n">
        <x:v>46037</x:v>
      </x:c>
      <x:c r="C41" s="5" t="n">
        <x:v>46037</x:v>
      </x:c>
      <x:c r="D41" s="3" t="str">
        <x:v>EMP-101</x:v>
      </x:c>
      <x:c r="E41" s="3" t="str">
        <x:v>Nova Retail S.A.S.</x:v>
      </x:c>
      <x:c r="F41" s="3" t="str">
        <x:v>1101-884422</x:v>
      </x:c>
      <x:c r="G41" s="3" t="str">
        <x:v>Banco Andino</x:v>
      </x:c>
      <x:c r="H41" s="3" t="str">
        <x:v>Egreso</x:v>
      </x:c>
      <x:c r="I41" s="3" t="str">
        <x:v>Comision bancaria</x:v>
      </x:c>
      <x:c r="J41" s="3" t="str">
        <x:v>Aduanas Global</x:v>
      </x:c>
      <x:c r="K41" s="3" t="str">
        <x:v>PAG-NOVA-20260062</x:v>
      </x:c>
      <x:c r="L41" s="3" t="str">
        <x:v>COP</x:v>
      </x:c>
      <x:c r="M41" s="7" t="n">
        <x:v>-4095502</x:v>
      </x:c>
      <x:c r="N41" s="7" t="n">
        <x:v>0</x:v>
      </x:c>
      <x:c r="O41" s="7" t="n">
        <x:v>-4095502</x:v>
      </x:c>
      <x:c r="P41" s="3" t="str">
        <x:v>Tarjeta credito</x:v>
      </x:c>
      <x:c r="Q41" s="3" t="str">
        <x:v>Administracion</x:v>
      </x:c>
      <x:c r="R41" s="3" t="str">
        <x:v>Bogota</x:v>
      </x:c>
      <x:c r="S41" s="3" t="str">
        <x:v>Colombia</x:v>
      </x:c>
      <x:c r="T41" s="3" t="str"/>
      <x:c r="U41" s="3" t="str">
        <x:v>Conciliado</x:v>
      </x:c>
      <x:c r="V41" s="5" t="n">
        <x:v>46035</x:v>
      </x:c>
      <x:c r="W41" s="9" t="n">
        <x:v>0</x:v>
      </x:c>
      <x:c r="X41" s="3" t="str">
        <x:v>Bajo</x:v>
      </x:c>
      <x:c r="Y41" s="3" t="str">
        <x:v>Transferencia</x:v>
      </x:c>
      <x:c r="Z41" s="3" t="str"/>
      <x:c r="AA41" s="3" t="str">
        <x:v>Si</x:v>
      </x:c>
      <x:c r="AB41" s="3" t="str">
        <x:v>Responsable vacio</x:v>
      </x:c>
    </x:row>
    <x:row r="42">
      <x:c r="A42" s="3" t="str">
        <x:v>NOVA-TRX-0021</x:v>
      </x:c>
      <x:c r="B42" s="5" t="n">
        <x:v>46038</x:v>
      </x:c>
      <x:c r="C42" s="5" t="n">
        <x:v>46038</x:v>
      </x:c>
      <x:c r="D42" s="3" t="str">
        <x:v>EMP-101</x:v>
      </x:c>
      <x:c r="E42" s="3" t="str">
        <x:v>Nova Retail S.A.S.</x:v>
      </x:c>
      <x:c r="F42" s="3" t="str">
        <x:v>1101-884422</x:v>
      </x:c>
      <x:c r="G42" s="3" t="str">
        <x:v>Banco Capital</x:v>
      </x:c>
      <x:c r="H42" s="3" t="str">
        <x:v>Ingreso</x:v>
      </x:c>
      <x:c r="I42" s="3" t="str">
        <x:v>Venta nacional</x:v>
      </x:c>
      <x:c r="J42" s="3" t="str">
        <x:v>Servicios Beta</x:v>
      </x:c>
      <x:c r="K42" s="3" t="str">
        <x:v>FAC-NOVA-20260021</x:v>
      </x:c>
      <x:c r="L42" s="3" t="str">
        <x:v>COP</x:v>
      </x:c>
      <x:c r="M42" s="7" t="n">
        <x:v>1466541</x:v>
      </x:c>
      <x:c r="N42" s="7" t="n">
        <x:v>278642.79</x:v>
      </x:c>
      <x:c r="O42" s="7" t="n">
        <x:v>1745183.79</x:v>
      </x:c>
      <x:c r="P42" s="3" t="str">
        <x:v>Transferencia local</x:v>
      </x:c>
      <x:c r="Q42" s="3" t="str">
        <x:v>Operaciones</x:v>
      </x:c>
      <x:c r="R42" s="3" t="str">
        <x:v>Bogota</x:v>
      </x:c>
      <x:c r="S42" s="3" t="str">
        <x:v>Colombia</x:v>
      </x:c>
      <x:c r="T42" s="3" t="str">
        <x:v>Ana Ruiz</x:v>
      </x:c>
      <x:c r="U42" s="3" t="str">
        <x:v>Conciliado</x:v>
      </x:c>
      <x:c r="V42" s="5" t="n">
        <x:v>46033</x:v>
      </x:c>
      <x:c r="W42" s="9" t="n">
        <x:v>0</x:v>
      </x:c>
      <x:c r="X42" s="3" t="str">
        <x:v>Bajo</x:v>
      </x:c>
      <x:c r="Y42" s="3" t="str">
        <x:v>Tarjeta</x:v>
      </x:c>
      <x:c r="Z42" s="3" t="str"/>
      <x:c r="AA42" s="3" t="str">
        <x:v>No</x:v>
      </x:c>
      <x:c r="AB42" s="3" t="str"/>
    </x:row>
    <x:row r="43">
      <x:c r="A43" s="3" t="str">
        <x:v>NOVA-TRX-0048</x:v>
      </x:c>
      <x:c r="B43" s="5" t="n">
        <x:v>46038</x:v>
      </x:c>
      <x:c r="C43" s="5" t="n">
        <x:v>46040</x:v>
      </x:c>
      <x:c r="D43" s="3" t="str">
        <x:v>EMP-101</x:v>
      </x:c>
      <x:c r="E43" s="3" t="str">
        <x:v>Nova Retail S.A.S.</x:v>
      </x:c>
      <x:c r="F43" s="3" t="str">
        <x:v>1101-884422</x:v>
      </x:c>
      <x:c r="G43" s="3" t="str">
        <x:v>Banco Andino</x:v>
      </x:c>
      <x:c r="H43" s="3" t="str">
        <x:v>Egreso</x:v>
      </x:c>
      <x:c r="I43" s="3" t="str">
        <x:v>Pago proveedor</x:v>
      </x:c>
      <x:c r="J43" s="3" t="str">
        <x:v>Cliente Norte S.A.</x:v>
      </x:c>
      <x:c r="K43" s="3" t="str">
        <x:v>PAG-NOVA-20260048</x:v>
      </x:c>
      <x:c r="L43" s="3" t="str">
        <x:v>COP</x:v>
      </x:c>
      <x:c r="M43" s="7" t="n">
        <x:v>-3197808</x:v>
      </x:c>
      <x:c r="N43" s="7" t="n">
        <x:v>-607583.52</x:v>
      </x:c>
      <x:c r="O43" s="7" t="n">
        <x:v>-3805391.52</x:v>
      </x:c>
      <x:c r="P43" s="3" t="str">
        <x:v>Cheque</x:v>
      </x:c>
      <x:c r="Q43" s="3" t="str">
        <x:v>Comercial</x:v>
      </x:c>
      <x:c r="R43" s="3" t="str">
        <x:v>Bogota</x:v>
      </x:c>
      <x:c r="S43" s="3" t="str">
        <x:v>Colombia</x:v>
      </x:c>
      <x:c r="T43" s="3" t="str">
        <x:v>Ana Ruiz</x:v>
      </x:c>
      <x:c r="U43" s="3" t="str">
        <x:v>Pendiente</x:v>
      </x:c>
      <x:c r="V43" s="5" t="n">
        <x:v>46054</x:v>
      </x:c>
      <x:c r="W43" s="9" t="n">
        <x:v>9</x:v>
      </x:c>
      <x:c r="X43" s="3" t="str">
        <x:v>Bajo</x:v>
      </x:c>
      <x:c r="Y43" s="3" t="str">
        <x:v>Portal bancario</x:v>
      </x:c>
      <x:c r="Z43" s="3" t="str"/>
      <x:c r="AA43" s="3" t="str">
        <x:v>Si</x:v>
      </x:c>
      <x:c r="AB43" s="3" t="str">
        <x:v>Conciliacion no cerrada</x:v>
      </x:c>
    </x:row>
    <x:row r="44">
      <x:c r="A44" s="3" t="str">
        <x:v>NOVA-TRX-0007</x:v>
      </x:c>
      <x:c r="B44" s="5" t="n">
        <x:v>46039</x:v>
      </x:c>
      <x:c r="C44" s="5" t="n">
        <x:v>46039</x:v>
      </x:c>
      <x:c r="D44" s="3" t="str">
        <x:v>EMP-101</x:v>
      </x:c>
      <x:c r="E44" s="3" t="str">
        <x:v>Nova Retail S.A.S.</x:v>
      </x:c>
      <x:c r="F44" s="3" t="str">
        <x:v>1101-884422</x:v>
      </x:c>
      <x:c r="G44" s="3" t="str">
        <x:v>Banco Capital</x:v>
      </x:c>
      <x:c r="H44" s="3" t="str">
        <x:v>Ingreso</x:v>
      </x:c>
      <x:c r="I44" s="3" t="str">
        <x:v>Venta internacional</x:v>
      </x:c>
      <x:c r="J44" s="3" t="str">
        <x:v>Cliente Express</x:v>
      </x:c>
      <x:c r="K44" s="3" t="str">
        <x:v>FAC-NOVA-20260007</x:v>
      </x:c>
      <x:c r="L44" s="3" t="str">
        <x:v>COP</x:v>
      </x:c>
      <x:c r="M44" s="7" t="n">
        <x:v>568847</x:v>
      </x:c>
      <x:c r="N44" s="7" t="n">
        <x:v>0</x:v>
      </x:c>
      <x:c r="O44" s="7" t="n">
        <x:v>568847</x:v>
      </x:c>
      <x:c r="P44" s="3" t="str">
        <x:v>Tarjeta credito</x:v>
      </x:c>
      <x:c r="Q44" s="3" t="str">
        <x:v>Finanzas</x:v>
      </x:c>
      <x:c r="R44" s="3" t="str">
        <x:v>Bogota</x:v>
      </x:c>
      <x:c r="S44" s="3" t="str">
        <x:v>Colombia</x:v>
      </x:c>
      <x:c r="T44" s="3" t="str">
        <x:v>Carlos Pena</x:v>
      </x:c>
      <x:c r="U44" s="3" t="str">
        <x:v>Conciliado</x:v>
      </x:c>
      <x:c r="V44" s="5" t="n">
        <x:v>46052</x:v>
      </x:c>
      <x:c r="W44" s="9" t="n">
        <x:v>0</x:v>
      </x:c>
      <x:c r="X44" s="3" t="str">
        <x:v>Bajo</x:v>
      </x:c>
      <x:c r="Y44" s="3" t="str">
        <x:v>PSE</x:v>
      </x:c>
      <x:c r="Z44" s="3" t="str"/>
      <x:c r="AA44" s="3" t="str">
        <x:v>No</x:v>
      </x:c>
      <x:c r="AB44" s="3" t="str"/>
    </x:row>
    <x:row r="45">
      <x:c r="A45" s="3" t="str">
        <x:v>NOVA-TRX-0034</x:v>
      </x:c>
      <x:c r="B45" s="5" t="n">
        <x:v>46039</x:v>
      </x:c>
      <x:c r="C45" s="5" t="n">
        <x:v>46039</x:v>
      </x:c>
      <x:c r="D45" s="3" t="str">
        <x:v>EMP-101</x:v>
      </x:c>
      <x:c r="E45" s="3" t="str">
        <x:v>Nova Retail S.A.S.</x:v>
      </x:c>
      <x:c r="F45" s="3" t="str">
        <x:v>1101-884422</x:v>
      </x:c>
      <x:c r="G45" s="3" t="str">
        <x:v>Banco Andino</x:v>
      </x:c>
      <x:c r="H45" s="3" t="str">
        <x:v>Egreso</x:v>
      </x:c>
      <x:c r="I45" s="3" t="str">
        <x:v>Impuestos</x:v>
      </x:c>
      <x:c r="J45" s="3" t="str">
        <x:v>Talento Humano</x:v>
      </x:c>
      <x:c r="K45" s="3" t="str">
        <x:v>PAG-NOVA-20260034</x:v>
      </x:c>
      <x:c r="L45" s="3" t="str">
        <x:v>COP</x:v>
      </x:c>
      <x:c r="M45" s="7" t="n">
        <x:v>-2300114</x:v>
      </x:c>
      <x:c r="N45" s="7" t="n">
        <x:v>0</x:v>
      </x:c>
      <x:c r="O45" s="7" t="n">
        <x:v>-2300114</x:v>
      </x:c>
      <x:c r="P45" s="3" t="str">
        <x:v>Debito automatico</x:v>
      </x:c>
      <x:c r="Q45" s="3" t="str">
        <x:v>Administracion</x:v>
      </x:c>
      <x:c r="R45" s="3" t="str">
        <x:v>Bogota</x:v>
      </x:c>
      <x:c r="S45" s="3" t="str">
        <x:v>Colombia</x:v>
      </x:c>
      <x:c r="T45" s="3" t="str">
        <x:v>Carlos Pena</x:v>
      </x:c>
      <x:c r="U45" s="3" t="str">
        <x:v>Rechazado</x:v>
      </x:c>
      <x:c r="V45" s="5" t="n">
        <x:v>46043</x:v>
      </x:c>
      <x:c r="W45" s="9" t="n">
        <x:v>20</x:v>
      </x:c>
      <x:c r="X45" s="3" t="str">
        <x:v>Bajo</x:v>
      </x:c>
      <x:c r="Y45" s="3" t="str">
        <x:v>Debito automatico</x:v>
      </x:c>
      <x:c r="Z45" s="3" t="str">
        <x:v>Registro rechazado por validacion bancaria</x:v>
      </x:c>
      <x:c r="AA45" s="3" t="str">
        <x:v>Si</x:v>
      </x:c>
      <x:c r="AB45" s="3" t="str">
        <x:v>Conciliacion no cerrada</x:v>
      </x:c>
    </x:row>
    <x:row r="46">
      <x:c r="A46" s="3" t="str">
        <x:v>NOVA-TRX-0050</x:v>
      </x:c>
      <x:c r="B46" s="5" t="n">
        <x:v>46039</x:v>
      </x:c>
      <x:c r="C46" s="5" t="n">
        <x:v>46039</x:v>
      </x:c>
      <x:c r="D46" s="3" t="str">
        <x:v>EMP-101</x:v>
      </x:c>
      <x:c r="E46" s="3" t="str">
        <x:v>Nova Retail S.A.S.</x:v>
      </x:c>
      <x:c r="F46" s="3" t="str">
        <x:v>1101-884422</x:v>
      </x:c>
      <x:c r="G46" s="3" t="str">
        <x:v>Banco Andino</x:v>
      </x:c>
      <x:c r="H46" s="3" t="str">
        <x:v>Ingreso</x:v>
      </x:c>
      <x:c r="I46" s="3" t="str">
        <x:v>Credito bancario</x:v>
      </x:c>
      <x:c r="J46" s="3" t="str">
        <x:v>Proveedor Alfa</x:v>
      </x:c>
      <x:c r="K46" s="3" t="str">
        <x:v>FAC-NOVA-20260050</x:v>
      </x:c>
      <x:c r="L46" s="3" t="str">
        <x:v>COP</x:v>
      </x:c>
      <x:c r="M46" s="7" t="n">
        <x:v>3326050</x:v>
      </x:c>
      <x:c r="N46" s="7" t="n">
        <x:v>0</x:v>
      </x:c>
      <x:c r="O46" s="7" t="n">
        <x:v>3326050</x:v>
      </x:c>
      <x:c r="P46" s="3" t="str">
        <x:v>ACH</x:v>
      </x:c>
      <x:c r="Q46" s="3" t="str">
        <x:v>Administracion</x:v>
      </x:c>
      <x:c r="R46" s="3" t="str">
        <x:v>Bogota</x:v>
      </x:c>
      <x:c r="S46" s="3" t="str">
        <x:v>Colombia</x:v>
      </x:c>
      <x:c r="T46" s="3" t="str">
        <x:v>Laura Mejia</x:v>
      </x:c>
      <x:c r="U46" s="3" t="str">
        <x:v>Conciliado</x:v>
      </x:c>
      <x:c r="V46" s="5" t="n">
        <x:v>46031</x:v>
      </x:c>
      <x:c r="W46" s="9" t="n">
        <x:v>0</x:v>
      </x:c>
      <x:c r="X46" s="3" t="str">
        <x:v>Bajo</x:v>
      </x:c>
      <x:c r="Y46" s="3" t="str">
        <x:v>Transferencia</x:v>
      </x:c>
      <x:c r="Z46" s="3" t="str"/>
      <x:c r="AA46" s="3" t="str">
        <x:v>No</x:v>
      </x:c>
      <x:c r="AB46" s="3" t="str"/>
    </x:row>
    <x:row r="47">
      <x:c r="A47" s="3" t="str">
        <x:v>NOVA-TRX-0036</x:v>
      </x:c>
      <x:c r="B47" s="5" t="n">
        <x:v>46040</x:v>
      </x:c>
      <x:c r="C47" s="5" t="n">
        <x:v>46042</x:v>
      </x:c>
      <x:c r="D47" s="3" t="str">
        <x:v>EMP-101</x:v>
      </x:c>
      <x:c r="E47" s="3" t="str">
        <x:v>Nova Retail S.A.S.</x:v>
      </x:c>
      <x:c r="F47" s="3" t="str">
        <x:v>1101-884422</x:v>
      </x:c>
      <x:c r="G47" s="3" t="str">
        <x:v>Banco Andino</x:v>
      </x:c>
      <x:c r="H47" s="3" t="str">
        <x:v>Egreso</x:v>
      </x:c>
      <x:c r="I47" s="3" t="str">
        <x:v>Arriendo</x:v>
      </x:c>
      <x:c r="J47" s="3" t="str">
        <x:v>Financiera Sur</x:v>
      </x:c>
      <x:c r="K47" s="3" t="str">
        <x:v>PAG-NOVA-20260036</x:v>
      </x:c>
      <x:c r="L47" s="3" t="str">
        <x:v>COP</x:v>
      </x:c>
      <x:c r="M47" s="7" t="n">
        <x:v>-2428356</x:v>
      </x:c>
      <x:c r="N47" s="7" t="n">
        <x:v>-461387.64</x:v>
      </x:c>
      <x:c r="O47" s="7" t="n">
        <x:v>-2889743.64</x:v>
      </x:c>
      <x:c r="P47" s="3" t="str">
        <x:v>Transferencia local</x:v>
      </x:c>
      <x:c r="Q47" s="3" t="str">
        <x:v>Comercial</x:v>
      </x:c>
      <x:c r="R47" s="3" t="str">
        <x:v>Bogota</x:v>
      </x:c>
      <x:c r="S47" s="3" t="str">
        <x:v>Colombia</x:v>
      </x:c>
      <x:c r="T47" s="3" t="str">
        <x:v>Ana Ruiz</x:v>
      </x:c>
      <x:c r="U47" s="3" t="str">
        <x:v>Pendiente</x:v>
      </x:c>
      <x:c r="V47" s="5" t="n">
        <x:v>46050</x:v>
      </x:c>
      <x:c r="W47" s="9" t="n">
        <x:v>13</x:v>
      </x:c>
      <x:c r="X47" s="3" t="str">
        <x:v>Bajo</x:v>
      </x:c>
      <x:c r="Y47" s="3" t="str">
        <x:v>Portal bancario</x:v>
      </x:c>
      <x:c r="Z47" s="3" t="str"/>
      <x:c r="AA47" s="3" t="str">
        <x:v>Si</x:v>
      </x:c>
      <x:c r="AB47" s="3" t="str">
        <x:v>Conciliacion no cerrada</x:v>
      </x:c>
    </x:row>
    <x:row r="48">
      <x:c r="A48" s="3" t="str">
        <x:v>NOVA-TRX-0063</x:v>
      </x:c>
      <x:c r="B48" s="5" t="n">
        <x:v>46040</x:v>
      </x:c>
      <x:c r="C48" s="5" t="n">
        <x:v>46040</x:v>
      </x:c>
      <x:c r="D48" s="3" t="str">
        <x:v>EMP-101</x:v>
      </x:c>
      <x:c r="E48" s="3" t="str">
        <x:v>Nova Retail S.A.S.</x:v>
      </x:c>
      <x:c r="F48" s="3" t="str">
        <x:v>1101-884422</x:v>
      </x:c>
      <x:c r="G48" s="3" t="str">
        <x:v>Banco Capital</x:v>
      </x:c>
      <x:c r="H48" s="3" t="str">
        <x:v>Ingreso</x:v>
      </x:c>
      <x:c r="I48" s="3" t="str">
        <x:v>Venta nacional</x:v>
      </x:c>
      <x:c r="J48" s="3" t="str">
        <x:v>Energia Urbana</x:v>
      </x:c>
      <x:c r="K48" s="3" t="str">
        <x:v>FAC-NOVA-20260063</x:v>
      </x:c>
      <x:c r="L48" s="3" t="str">
        <x:v>COP</x:v>
      </x:c>
      <x:c r="M48" s="7" t="n">
        <x:v>4159623</x:v>
      </x:c>
      <x:c r="N48" s="7" t="n">
        <x:v>790328.37</x:v>
      </x:c>
      <x:c r="O48" s="7" t="n">
        <x:v>4949951.37</x:v>
      </x:c>
      <x:c r="P48" s="3" t="str">
        <x:v>Cheque</x:v>
      </x:c>
      <x:c r="Q48" s="3" t="str">
        <x:v>Finanzas</x:v>
      </x:c>
      <x:c r="R48" s="3" t="str">
        <x:v>Bogota</x:v>
      </x:c>
      <x:c r="S48" s="3" t="str">
        <x:v>Colombia</x:v>
      </x:c>
      <x:c r="T48" s="3" t="str">
        <x:v>Ana Ruiz</x:v>
      </x:c>
      <x:c r="U48" s="3" t="str">
        <x:v>Conciliado</x:v>
      </x:c>
      <x:c r="V48" s="5" t="n">
        <x:v>46041</x:v>
      </x:c>
      <x:c r="W48" s="9" t="n">
        <x:v>0</x:v>
      </x:c>
      <x:c r="X48" s="3" t="str">
        <x:v>Bajo</x:v>
      </x:c>
      <x:c r="Y48" s="3" t="str">
        <x:v>Tarjeta</x:v>
      </x:c>
      <x:c r="Z48" s="3" t="str"/>
      <x:c r="AA48" s="3" t="str">
        <x:v>No</x:v>
      </x:c>
      <x:c r="AB48" s="3" t="str"/>
    </x:row>
    <x:row r="49">
      <x:c r="A49" s="3" t="str">
        <x:v>NOVA-TRX-0022</x:v>
      </x:c>
      <x:c r="B49" s="5" t="n">
        <x:v>46041</x:v>
      </x:c>
      <x:c r="C49" s="5" t="n">
        <x:v>46041</x:v>
      </x:c>
      <x:c r="D49" s="3" t="str">
        <x:v>EMP-101</x:v>
      </x:c>
      <x:c r="E49" s="3" t="str">
        <x:v>Nova Retail S.A.S.</x:v>
      </x:c>
      <x:c r="F49" s="3" t="str">
        <x:v>1101-884422</x:v>
      </x:c>
      <x:c r="G49" s="3" t="str">
        <x:v>Banco Andino</x:v>
      </x:c>
      <x:c r="H49" s="3" t="str">
        <x:v>Ingreso</x:v>
      </x:c>
      <x:c r="I49" s="3" t="str">
        <x:v>Venta internacional</x:v>
      </x:c>
      <x:c r="J49" s="3" t="str">
        <x:v>Aduanas Global</x:v>
      </x:c>
      <x:c r="K49" s="3" t="str">
        <x:v>FAC-NOVA-20260022</x:v>
      </x:c>
      <x:c r="L49" s="3" t="str">
        <x:v>COP</x:v>
      </x:c>
      <x:c r="M49" s="7" t="n">
        <x:v>1530662</x:v>
      </x:c>
      <x:c r="N49" s="7" t="n">
        <x:v>0</x:v>
      </x:c>
      <x:c r="O49" s="7" t="n">
        <x:v>1530662</x:v>
      </x:c>
      <x:c r="P49" s="3" t="str">
        <x:v>Tarjeta credito</x:v>
      </x:c>
      <x:c r="Q49" s="3" t="str">
        <x:v>Administracion</x:v>
      </x:c>
      <x:c r="R49" s="3" t="str">
        <x:v>Bogota</x:v>
      </x:c>
      <x:c r="S49" s="3" t="str">
        <x:v>Colombia</x:v>
      </x:c>
      <x:c r="T49" s="3" t="str">
        <x:v>Carlos Pena</x:v>
      </x:c>
      <x:c r="U49" s="3" t="str">
        <x:v>Conciliado</x:v>
      </x:c>
      <x:c r="V49" s="5" t="n">
        <x:v>46039</x:v>
      </x:c>
      <x:c r="W49" s="9" t="n">
        <x:v>0</x:v>
      </x:c>
      <x:c r="X49" s="3" t="str">
        <x:v>Bajo</x:v>
      </x:c>
      <x:c r="Y49" s="3" t="str">
        <x:v>Debito automatico</x:v>
      </x:c>
      <x:c r="Z49" s="3" t="str"/>
      <x:c r="AA49" s="3" t="str">
        <x:v>No</x:v>
      </x:c>
      <x:c r="AB49" s="3" t="str"/>
    </x:row>
    <x:row r="50">
      <x:c r="A50" s="3" t="str">
        <x:v>NOVA-TRX-0049</x:v>
      </x:c>
      <x:c r="B50" s="5" t="n">
        <x:v>46041</x:v>
      </x:c>
      <x:c r="C50" s="5" t="n">
        <x:v>46041</x:v>
      </x:c>
      <x:c r="D50" s="3" t="str">
        <x:v>EMP-101</x:v>
      </x:c>
      <x:c r="E50" s="3" t="str">
        <x:v>Nova Retail S.A.S.</x:v>
      </x:c>
      <x:c r="F50" s="3" t="str">
        <x:v>1101-884422</x:v>
      </x:c>
      <x:c r="G50" s="3" t="str">
        <x:v>Banco Capital</x:v>
      </x:c>
      <x:c r="H50" s="3" t="str">
        <x:v>Ingreso</x:v>
      </x:c>
      <x:c r="I50" s="3" t="str">
        <x:v>Venta internacional</x:v>
      </x:c>
      <x:c r="J50" s="3" t="str">
        <x:v>Distribuidora Delta</x:v>
      </x:c>
      <x:c r="K50" s="3" t="str">
        <x:v>FAC-NOVA-20260049</x:v>
      </x:c>
      <x:c r="L50" s="3" t="str">
        <x:v>COP</x:v>
      </x:c>
      <x:c r="M50" s="7" t="n">
        <x:v>3261929</x:v>
      </x:c>
      <x:c r="N50" s="7" t="n">
        <x:v>0</x:v>
      </x:c>
      <x:c r="O50" s="7" t="n">
        <x:v>3261929</x:v>
      </x:c>
      <x:c r="P50" s="3" t="str">
        <x:v>Debito automatico</x:v>
      </x:c>
      <x:c r="Q50" s="3" t="str">
        <x:v>Operaciones</x:v>
      </x:c>
      <x:c r="R50" s="3" t="str">
        <x:v>Bogota</x:v>
      </x:c>
      <x:c r="S50" s="3" t="str">
        <x:v>Colombia</x:v>
      </x:c>
      <x:c r="T50" s="3" t="str">
        <x:v>Carlos Pena</x:v>
      </x:c>
      <x:c r="U50" s="3" t="str">
        <x:v>Conciliado</x:v>
      </x:c>
      <x:c r="V50" s="5" t="n">
        <x:v>46060</x:v>
      </x:c>
      <x:c r="W50" s="9" t="n">
        <x:v>0</x:v>
      </x:c>
      <x:c r="X50" s="3" t="str">
        <x:v>Bajo</x:v>
      </x:c>
      <x:c r="Y50" s="3" t="str">
        <x:v>PSE</x:v>
      </x:c>
      <x:c r="Z50" s="3" t="str"/>
      <x:c r="AA50" s="3" t="str">
        <x:v>No</x:v>
      </x:c>
      <x:c r="AB50" s="3" t="str"/>
    </x:row>
    <x:row r="51">
      <x:c r="A51" s="3" t="str">
        <x:v>NOVA-TRX-0065</x:v>
      </x:c>
      <x:c r="B51" s="5" t="n">
        <x:v>46041</x:v>
      </x:c>
      <x:c r="C51" s="5" t="n">
        <x:v>46041</x:v>
      </x:c>
      <x:c r="D51" s="3" t="str">
        <x:v>EMP-101</x:v>
      </x:c>
      <x:c r="E51" s="3" t="str">
        <x:v>Nova Retail S.A.S.</x:v>
      </x:c>
      <x:c r="F51" s="3" t="str">
        <x:v>1101-884422</x:v>
      </x:c>
      <x:c r="G51" s="3" t="str">
        <x:v>Banco Capital</x:v>
      </x:c>
      <x:c r="H51" s="3" t="str">
        <x:v>Ingreso</x:v>
      </x:c>
      <x:c r="I51" s="3" t="str">
        <x:v>Credito bancario</x:v>
      </x:c>
      <x:c r="J51" s="3" t="str">
        <x:v>Arrendadora Centro</x:v>
      </x:c>
      <x:c r="K51" s="3" t="str">
        <x:v>FAC-NOVA-20260065</x:v>
      </x:c>
      <x:c r="L51" s="3" t="str">
        <x:v>COP</x:v>
      </x:c>
      <x:c r="M51" s="7" t="n">
        <x:v>4287865</x:v>
      </x:c>
      <x:c r="N51" s="7" t="n">
        <x:v>0</x:v>
      </x:c>
      <x:c r="O51" s="7" t="n">
        <x:v>4287865</x:v>
      </x:c>
      <x:c r="P51" s="3" t="str">
        <x:v>ACH</x:v>
      </x:c>
      <x:c r="Q51" s="3" t="str">
        <x:v>Operaciones</x:v>
      </x:c>
      <x:c r="R51" s="3" t="str">
        <x:v>Bogota</x:v>
      </x:c>
      <x:c r="S51" s="3" t="str">
        <x:v>Colombia</x:v>
      </x:c>
      <x:c r="T51" s="3" t="str">
        <x:v>Laura Mejia</x:v>
      </x:c>
      <x:c r="U51" s="3" t="str">
        <x:v>Diferencia</x:v>
      </x:c>
      <x:c r="V51" s="5" t="n">
        <x:v>46048</x:v>
      </x:c>
      <x:c r="W51" s="9" t="n">
        <x:v>15</x:v>
      </x:c>
      <x:c r="X51" s="3" t="str">
        <x:v>Medio</x:v>
      </x:c>
      <x:c r="Y51" s="3" t="str">
        <x:v>Caja</x:v>
      </x:c>
      <x:c r="Z51" s="3" t="str"/>
      <x:c r="AA51" s="3" t="str">
        <x:v>Si</x:v>
      </x:c>
      <x:c r="AB51" s="3" t="str">
        <x:v>Conciliacion no cerrada</x:v>
      </x:c>
    </x:row>
    <x:row r="52">
      <x:c r="A52" s="3" t="str">
        <x:v>NOVA-TRX-0008</x:v>
      </x:c>
      <x:c r="B52" s="5" t="n">
        <x:v>46042</x:v>
      </x:c>
      <x:c r="C52" s="5" t="n">
        <x:v>46043</x:v>
      </x:c>
      <x:c r="D52" s="3" t="str">
        <x:v>EMP-101</x:v>
      </x:c>
      <x:c r="E52" s="3" t="str">
        <x:v>Nova Retail S.A.S.</x:v>
      </x:c>
      <x:c r="F52" s="3" t="str">
        <x:v>1101-884422</x:v>
      </x:c>
      <x:c r="G52" s="3" t="str">
        <x:v>Banco Andino</x:v>
      </x:c>
      <x:c r="H52" s="3" t="str">
        <x:v>Egreso</x:v>
      </x:c>
      <x:c r="I52" s="3" t="str">
        <x:v>Pago proveedor</x:v>
      </x:c>
      <x:c r="J52" s="3" t="str">
        <x:v>Cliente Norte S.A.</x:v>
      </x:c>
      <x:c r="K52" s="3" t="str">
        <x:v>PAG-NOVA-20260008</x:v>
      </x:c>
      <x:c r="L52" s="3" t="str">
        <x:v>COP</x:v>
      </x:c>
      <x:c r="M52" s="7" t="n">
        <x:v>-632968</x:v>
      </x:c>
      <x:c r="N52" s="7" t="n">
        <x:v>-120263.92</x:v>
      </x:c>
      <x:c r="O52" s="7" t="n">
        <x:v>-753231.92</x:v>
      </x:c>
      <x:c r="P52" s="3" t="str">
        <x:v>Cheque</x:v>
      </x:c>
      <x:c r="Q52" s="3" t="str">
        <x:v>Comercial</x:v>
      </x:c>
      <x:c r="R52" s="3" t="str">
        <x:v>Bogota</x:v>
      </x:c>
      <x:c r="S52" s="3" t="str">
        <x:v>Colombia</x:v>
      </x:c>
      <x:c r="T52" s="3" t="str">
        <x:v>Laura Mejia</x:v>
      </x:c>
      <x:c r="U52" s="3" t="str">
        <x:v>Pendiente</x:v>
      </x:c>
      <x:c r="V52" s="5" t="n">
        <x:v>46058</x:v>
      </x:c>
      <x:c r="W52" s="9" t="n">
        <x:v>5</x:v>
      </x:c>
      <x:c r="X52" s="3" t="str">
        <x:v>Bajo</x:v>
      </x:c>
      <x:c r="Y52" s="3" t="str">
        <x:v>Transferencia</x:v>
      </x:c>
      <x:c r="Z52" s="3" t="str"/>
      <x:c r="AA52" s="3" t="str">
        <x:v>Si</x:v>
      </x:c>
      <x:c r="AB52" s="3" t="str">
        <x:v>Conciliacion no cerrada</x:v>
      </x:c>
    </x:row>
    <x:row r="53">
      <x:c r="A53" s="3" t="str">
        <x:v>NOVA-TRX-0051</x:v>
      </x:c>
      <x:c r="B53" s="5" t="n">
        <x:v>46042</x:v>
      </x:c>
      <x:c r="C53" s="5" t="n">
        <x:v>46042</x:v>
      </x:c>
      <x:c r="D53" s="3" t="str">
        <x:v>EMP-101</x:v>
      </x:c>
      <x:c r="E53" s="3" t="str">
        <x:v>Nova Retail S.A.S.</x:v>
      </x:c>
      <x:c r="F53" s="3" t="str">
        <x:v>1101-884422</x:v>
      </x:c>
      <x:c r="G53" s="3" t="str">
        <x:v>Banco Capital</x:v>
      </x:c>
      <x:c r="H53" s="3" t="str">
        <x:v>Egreso</x:v>
      </x:c>
      <x:c r="I53" s="3" t="str">
        <x:v>Servicios publicos</x:v>
      </x:c>
      <x:c r="J53" s="3" t="str">
        <x:v>Servicios Beta</x:v>
      </x:c>
      <x:c r="K53" s="3" t="str">
        <x:v>PAG-NOVA-20260051</x:v>
      </x:c>
      <x:c r="L53" s="3" t="str">
        <x:v>COP</x:v>
      </x:c>
      <x:c r="M53" s="7" t="n">
        <x:v>-3390171</x:v>
      </x:c>
      <x:c r="N53" s="7" t="n">
        <x:v>-644132.49</x:v>
      </x:c>
      <x:c r="O53" s="7" t="n">
        <x:v>-4034303.49</x:v>
      </x:c>
      <x:c r="P53" s="3" t="str">
        <x:v>Transferencia local</x:v>
      </x:c>
      <x:c r="Q53" s="3" t="str">
        <x:v>Finanzas</x:v>
      </x:c>
      <x:c r="R53" s="3" t="str">
        <x:v>Bogota</x:v>
      </x:c>
      <x:c r="S53" s="3" t="str">
        <x:v>Colombia</x:v>
      </x:c>
      <x:c r="T53" s="3" t="str">
        <x:v>Ana Ruiz</x:v>
      </x:c>
      <x:c r="U53" s="3" t="str">
        <x:v>Rechazado</x:v>
      </x:c>
      <x:c r="V53" s="5" t="n">
        <x:v>46037</x:v>
      </x:c>
      <x:c r="W53" s="9" t="n">
        <x:v>26</x:v>
      </x:c>
      <x:c r="X53" s="3" t="str">
        <x:v>Bajo</x:v>
      </x:c>
      <x:c r="Y53" s="3" t="str">
        <x:v>Tarjeta</x:v>
      </x:c>
      <x:c r="Z53" s="3" t="str">
        <x:v>Registro rechazado por validacion bancaria</x:v>
      </x:c>
      <x:c r="AA53" s="3" t="str">
        <x:v>Si</x:v>
      </x:c>
      <x:c r="AB53" s="3" t="str">
        <x:v>Conciliacion no cerrada</x:v>
      </x:c>
    </x:row>
    <x:row r="54">
      <x:c r="A54" s="3" t="str">
        <x:v>NOVA-TRX-0010</x:v>
      </x:c>
      <x:c r="B54" s="5" t="n">
        <x:v>46043</x:v>
      </x:c>
      <x:c r="C54" s="5" t="n">
        <x:v>46043</x:v>
      </x:c>
      <x:c r="D54" s="3" t="str">
        <x:v>EMP-101</x:v>
      </x:c>
      <x:c r="E54" s="3" t="str">
        <x:v>Nova Retail S.A.S.</x:v>
      </x:c>
      <x:c r="F54" s="3" t="str">
        <x:v>1101-884422</x:v>
      </x:c>
      <x:c r="G54" s="3" t="str">
        <x:v>Banco Andino</x:v>
      </x:c>
      <x:c r="H54" s="3" t="str">
        <x:v>Ingreso</x:v>
      </x:c>
      <x:c r="I54" s="3" t="str">
        <x:v>Venta internacional</x:v>
      </x:c>
      <x:c r="J54" s="3" t="str">
        <x:v>Proveedor Alfa</x:v>
      </x:c>
      <x:c r="K54" s="3" t="str">
        <x:v>FAC-NOVA-20260010</x:v>
      </x:c>
      <x:c r="L54" s="3" t="str">
        <x:v>COP</x:v>
      </x:c>
      <x:c r="M54" s="7" t="n">
        <x:v>761210</x:v>
      </x:c>
      <x:c r="N54" s="7" t="n">
        <x:v>0</x:v>
      </x:c>
      <x:c r="O54" s="7" t="n">
        <x:v>761210</x:v>
      </x:c>
      <x:c r="P54" s="3" t="str">
        <x:v>ACH</x:v>
      </x:c>
      <x:c r="Q54" s="3" t="str">
        <x:v>Administracion</x:v>
      </x:c>
      <x:c r="R54" s="3" t="str">
        <x:v>Bogota</x:v>
      </x:c>
      <x:c r="S54" s="3" t="str">
        <x:v>Colombia</x:v>
      </x:c>
      <x:c r="T54" s="3" t="str">
        <x:v>Carlos Pena</x:v>
      </x:c>
      <x:c r="U54" s="3" t="str">
        <x:v>Conciliado</x:v>
      </x:c>
      <x:c r="V54" s="5" t="n">
        <x:v>46035</x:v>
      </x:c>
      <x:c r="W54" s="9" t="n">
        <x:v>0</x:v>
      </x:c>
      <x:c r="X54" s="3" t="str">
        <x:v>Bajo</x:v>
      </x:c>
      <x:c r="Y54" s="3" t="str">
        <x:v>Debito automatico</x:v>
      </x:c>
      <x:c r="Z54" s="3" t="str"/>
      <x:c r="AA54" s="3" t="str">
        <x:v>No</x:v>
      </x:c>
      <x:c r="AB54" s="3" t="str"/>
    </x:row>
    <x:row r="55">
      <x:c r="A55" s="3" t="str">
        <x:v>NOVA-TRX-0037</x:v>
      </x:c>
      <x:c r="B55" s="5" t="n">
        <x:v>46043</x:v>
      </x:c>
      <x:c r="C55" s="5" t="n">
        <x:v>46043</x:v>
      </x:c>
      <x:c r="D55" s="3" t="str">
        <x:v>EMP-101</x:v>
      </x:c>
      <x:c r="E55" s="3" t="str">
        <x:v>Nova Retail S.A.S.</x:v>
      </x:c>
      <x:c r="F55" s="3" t="str">
        <x:v>1101-884422</x:v>
      </x:c>
      <x:c r="G55" s="3" t="str">
        <x:v>Banco Capital</x:v>
      </x:c>
      <x:c r="H55" s="3" t="str">
        <x:v>Egreso</x:v>
      </x:c>
      <x:c r="I55" s="3" t="str">
        <x:v>Reembolso</x:v>
      </x:c>
      <x:c r="J55" s="3" t="str">
        <x:v>Cliente Express</x:v>
      </x:c>
      <x:c r="K55" s="3" t="str">
        <x:v>PAG-NOVA-20260037</x:v>
      </x:c>
      <x:c r="L55" s="3" t="str">
        <x:v>USD</x:v>
      </x:c>
      <x:c r="M55" s="7" t="n">
        <x:v>-2492477</x:v>
      </x:c>
      <x:c r="N55" s="7" t="n">
        <x:v>0</x:v>
      </x:c>
      <x:c r="O55" s="7" t="n">
        <x:v>-2492477</x:v>
      </x:c>
      <x:c r="P55" s="3" t="str">
        <x:v>Tarjeta credito</x:v>
      </x:c>
      <x:c r="Q55" s="3" t="str">
        <x:v>Operaciones</x:v>
      </x:c>
      <x:c r="R55" s="3" t="str">
        <x:v>Bogota</x:v>
      </x:c>
      <x:c r="S55" s="3" t="str">
        <x:v>Colombia</x:v>
      </x:c>
      <x:c r="T55" s="3" t="str">
        <x:v>Carlos Pena</x:v>
      </x:c>
      <x:c r="U55" s="3" t="str">
        <x:v>Conciliado</x:v>
      </x:c>
      <x:c r="V55" s="5" t="n">
        <x:v>46056</x:v>
      </x:c>
      <x:c r="W55" s="9" t="n">
        <x:v>0</x:v>
      </x:c>
      <x:c r="X55" s="3" t="str">
        <x:v>Bajo</x:v>
      </x:c>
      <x:c r="Y55" s="3" t="str">
        <x:v>PSE</x:v>
      </x:c>
      <x:c r="Z55" s="3" t="str"/>
      <x:c r="AA55" s="3" t="str">
        <x:v>No</x:v>
      </x:c>
      <x:c r="AB55" s="3" t="str"/>
    </x:row>
    <x:row r="56">
      <x:c r="A56" s="3" t="str">
        <x:v>NOVA-TRX-0064</x:v>
      </x:c>
      <x:c r="B56" s="5" t="n">
        <x:v>46043</x:v>
      </x:c>
      <x:c r="C56" s="5" t="n">
        <x:v>46044</x:v>
      </x:c>
      <x:c r="D56" s="3" t="str">
        <x:v>EMP-101</x:v>
      </x:c>
      <x:c r="E56" s="3" t="str">
        <x:v>Nova Retail S.A.S.</x:v>
      </x:c>
      <x:c r="F56" s="3" t="str">
        <x:v>1101-884422</x:v>
      </x:c>
      <x:c r="G56" s="3" t="str">
        <x:v>Banco Andino</x:v>
      </x:c>
      <x:c r="H56" s="3" t="str">
        <x:v>Egreso</x:v>
      </x:c>
      <x:c r="I56" s="3" t="str">
        <x:v>Pago proveedor</x:v>
      </x:c>
      <x:c r="J56" s="3" t="str">
        <x:v>Talento Humano</x:v>
      </x:c>
      <x:c r="K56" s="3" t="str">
        <x:v>PAG-NOVA-20260064</x:v>
      </x:c>
      <x:c r="L56" s="3" t="str">
        <x:v>COP</x:v>
      </x:c>
      <x:c r="M56" s="7" t="n">
        <x:v>-4223744</x:v>
      </x:c>
      <x:c r="N56" s="7" t="n">
        <x:v>-802511.36</x:v>
      </x:c>
      <x:c r="O56" s="7" t="n">
        <x:v>-5026255.36</x:v>
      </x:c>
      <x:c r="P56" s="3" t="str">
        <x:v>Debito automatico</x:v>
      </x:c>
      <x:c r="Q56" s="3" t="str">
        <x:v>Comercial</x:v>
      </x:c>
      <x:c r="R56" s="3" t="str">
        <x:v>Bogota</x:v>
      </x:c>
      <x:c r="S56" s="3" t="str">
        <x:v>Colombia</x:v>
      </x:c>
      <x:c r="T56" s="3" t="str">
        <x:v>Carlos Pena</x:v>
      </x:c>
      <x:c r="U56" s="3" t="str">
        <x:v>Pendiente</x:v>
      </x:c>
      <x:c r="V56" s="5" t="n">
        <x:v>46047</x:v>
      </x:c>
      <x:c r="W56" s="9" t="n">
        <x:v>16</x:v>
      </x:c>
      <x:c r="X56" s="3" t="str">
        <x:v>Bajo</x:v>
      </x:c>
      <x:c r="Y56" s="3" t="str">
        <x:v>Debito automatico</x:v>
      </x:c>
      <x:c r="Z56" s="3" t="str"/>
      <x:c r="AA56" s="3" t="str">
        <x:v>Si</x:v>
      </x:c>
      <x:c r="AB56" s="3" t="str">
        <x:v>Conciliacion no cerrada</x:v>
      </x:c>
    </x:row>
    <x:row r="57">
      <x:c r="A57" s="3" t="str">
        <x:v>NOVA-TRX-0023</x:v>
      </x:c>
      <x:c r="B57" s="5" t="n">
        <x:v>46044</x:v>
      </x:c>
      <x:c r="C57" s="5" t="n">
        <x:v>46044</x:v>
      </x:c>
      <x:c r="D57" s="3" t="str">
        <x:v>EMP-101</x:v>
      </x:c>
      <x:c r="E57" s="3" t="str">
        <x:v>Nova Retail S.A.S.</x:v>
      </x:c>
      <x:c r="F57" s="3" t="str">
        <x:v>1101-884422</x:v>
      </x:c>
      <x:c r="G57" s="3" t="str">
        <x:v>Banco Capital</x:v>
      </x:c>
      <x:c r="H57" s="3" t="str">
        <x:v>Egreso</x:v>
      </x:c>
      <x:c r="I57" s="3" t="str">
        <x:v>Credito bancario</x:v>
      </x:c>
      <x:c r="J57" s="3" t="str">
        <x:v>Energia Urbana</x:v>
      </x:c>
      <x:c r="K57" s="3" t="str">
        <x:v>PAG-NOVA-20260023</x:v>
      </x:c>
      <x:c r="L57" s="3" t="str">
        <x:v>COP</x:v>
      </x:c>
      <x:c r="M57" s="7" t="n">
        <x:v>-1594783</x:v>
      </x:c>
      <x:c r="N57" s="7" t="n">
        <x:v>0</x:v>
      </x:c>
      <x:c r="O57" s="7" t="n">
        <x:v>-1594783</x:v>
      </x:c>
      <x:c r="P57" s="3" t="str">
        <x:v>Cheque</x:v>
      </x:c>
      <x:c r="Q57" s="3" t="str"/>
      <x:c r="R57" s="3" t="str">
        <x:v>Bogota</x:v>
      </x:c>
      <x:c r="S57" s="3" t="str">
        <x:v>Colombia</x:v>
      </x:c>
      <x:c r="T57" s="3" t="str">
        <x:v>Laura Mejia</x:v>
      </x:c>
      <x:c r="U57" s="3" t="str">
        <x:v>Conciliado</x:v>
      </x:c>
      <x:c r="V57" s="5" t="n">
        <x:v>46045</x:v>
      </x:c>
      <x:c r="W57" s="9" t="n">
        <x:v>0</x:v>
      </x:c>
      <x:c r="X57" s="3" t="str">
        <x:v>Bajo</x:v>
      </x:c>
      <x:c r="Y57" s="3" t="str">
        <x:v>Caja</x:v>
      </x:c>
      <x:c r="Z57" s="3" t="str"/>
      <x:c r="AA57" s="3" t="str">
        <x:v>Si</x:v>
      </x:c>
      <x:c r="AB57" s="3" t="str">
        <x:v>Centro de costo vacio</x:v>
      </x:c>
    </x:row>
    <x:row r="58">
      <x:c r="A58" s="3" t="str">
        <x:v>NOVA-TRX-0066</x:v>
      </x:c>
      <x:c r="B58" s="5" t="n">
        <x:v>46044</x:v>
      </x:c>
      <x:c r="C58" s="5" t="n">
        <x:v>46046</x:v>
      </x:c>
      <x:c r="D58" s="3" t="str">
        <x:v>EMP-101</x:v>
      </x:c>
      <x:c r="E58" s="3" t="str">
        <x:v>Nova Retail S.A.S.</x:v>
      </x:c>
      <x:c r="F58" s="3" t="str">
        <x:v>1101-884422</x:v>
      </x:c>
      <x:c r="G58" s="3" t="str">
        <x:v>Banco Andino</x:v>
      </x:c>
      <x:c r="H58" s="3" t="str">
        <x:v>Ingreso</x:v>
      </x:c>
      <x:c r="I58" s="3" t="str">
        <x:v>Venta nacional</x:v>
      </x:c>
      <x:c r="J58" s="3" t="str">
        <x:v>Financiera Sur</x:v>
      </x:c>
      <x:c r="K58" s="3" t="str">
        <x:v>FAC-NOVA-20260066</x:v>
      </x:c>
      <x:c r="L58" s="3" t="str">
        <x:v>COP</x:v>
      </x:c>
      <x:c r="M58" s="7" t="n">
        <x:v>4351986</x:v>
      </x:c>
      <x:c r="N58" s="7" t="n">
        <x:v>826877.34</x:v>
      </x:c>
      <x:c r="O58" s="7" t="n">
        <x:v>5178863.34</x:v>
      </x:c>
      <x:c r="P58" s="3" t="str">
        <x:v>Transferencia local</x:v>
      </x:c>
      <x:c r="Q58" s="3" t="str">
        <x:v>Administracion</x:v>
      </x:c>
      <x:c r="R58" s="3" t="str">
        <x:v>Bogota</x:v>
      </x:c>
      <x:c r="S58" s="3" t="str">
        <x:v>Colombia</x:v>
      </x:c>
      <x:c r="T58" s="3" t="str">
        <x:v>Ana Ruiz</x:v>
      </x:c>
      <x:c r="U58" s="3" t="str">
        <x:v>Conciliado</x:v>
      </x:c>
      <x:c r="V58" s="5" t="n">
        <x:v>46054</x:v>
      </x:c>
      <x:c r="W58" s="9" t="n">
        <x:v>0</x:v>
      </x:c>
      <x:c r="X58" s="3" t="str">
        <x:v>Bajo</x:v>
      </x:c>
      <x:c r="Y58" s="3" t="str">
        <x:v>Portal bancario</x:v>
      </x:c>
      <x:c r="Z58" s="3" t="str"/>
      <x:c r="AA58" s="3" t="str">
        <x:v>No</x:v>
      </x:c>
      <x:c r="AB58" s="3" t="str"/>
    </x:row>
    <x:row r="59">
      <x:c r="A59" s="3" t="str">
        <x:v>NOVA-TRX-0009</x:v>
      </x:c>
      <x:c r="B59" s="5" t="n">
        <x:v>46045</x:v>
      </x:c>
      <x:c r="C59" s="5" t="n">
        <x:v>46045</x:v>
      </x:c>
      <x:c r="D59" s="3" t="str">
        <x:v>EMP-101</x:v>
      </x:c>
      <x:c r="E59" s="3" t="str">
        <x:v>Nova Retail S.A.S.</x:v>
      </x:c>
      <x:c r="F59" s="3" t="str">
        <x:v>1101-884422</x:v>
      </x:c>
      <x:c r="G59" s="3" t="str">
        <x:v>Banco Capital</x:v>
      </x:c>
      <x:c r="H59" s="3" t="str">
        <x:v>Egreso</x:v>
      </x:c>
      <x:c r="I59" s="3" t="str">
        <x:v>Nomina</x:v>
      </x:c>
      <x:c r="J59" s="3" t="str">
        <x:v>Distribuidora Delta</x:v>
      </x:c>
      <x:c r="K59" s="3" t="str">
        <x:v>NOM-NOVA-20260009</x:v>
      </x:c>
      <x:c r="L59" s="3" t="str">
        <x:v>COP</x:v>
      </x:c>
      <x:c r="M59" s="7" t="n">
        <x:v>-697089</x:v>
      </x:c>
      <x:c r="N59" s="7" t="n">
        <x:v>0</x:v>
      </x:c>
      <x:c r="O59" s="7" t="n">
        <x:v>-697089</x:v>
      </x:c>
      <x:c r="P59" s="3" t="str">
        <x:v>Debito automatico</x:v>
      </x:c>
      <x:c r="Q59" s="3" t="str">
        <x:v>Operaciones</x:v>
      </x:c>
      <x:c r="R59" s="3" t="str">
        <x:v>Bogota</x:v>
      </x:c>
      <x:c r="S59" s="3" t="str">
        <x:v>Colombia</x:v>
      </x:c>
      <x:c r="T59" s="3" t="str">
        <x:v>Ana Ruiz</x:v>
      </x:c>
      <x:c r="U59" s="3" t="str">
        <x:v>Conciliado</x:v>
      </x:c>
      <x:c r="V59" s="5" t="n">
        <x:v>46064</x:v>
      </x:c>
      <x:c r="W59" s="9" t="n">
        <x:v>0</x:v>
      </x:c>
      <x:c r="X59" s="3" t="str">
        <x:v>Bajo</x:v>
      </x:c>
      <x:c r="Y59" s="3" t="str">
        <x:v>Tarjeta</x:v>
      </x:c>
      <x:c r="Z59" s="3" t="str"/>
      <x:c r="AA59" s="3" t="str">
        <x:v>No</x:v>
      </x:c>
      <x:c r="AB59" s="3" t="str"/>
    </x:row>
    <x:row r="60">
      <x:c r="A60" s="3" t="str">
        <x:v>NOVA-TRX-0025</x:v>
      </x:c>
      <x:c r="B60" s="5" t="n">
        <x:v>46045</x:v>
      </x:c>
      <x:c r="C60" s="5" t="n">
        <x:v>46045</x:v>
      </x:c>
      <x:c r="D60" s="3" t="str">
        <x:v>EMP-101</x:v>
      </x:c>
      <x:c r="E60" s="3" t="str">
        <x:v>Nova Retail S.A.S.</x:v>
      </x:c>
      <x:c r="F60" s="3" t="str">
        <x:v>1101-884422</x:v>
      </x:c>
      <x:c r="G60" s="3" t="str">
        <x:v>Banco Capital</x:v>
      </x:c>
      <x:c r="H60" s="3" t="str">
        <x:v>Ingreso</x:v>
      </x:c>
      <x:c r="I60" s="3" t="str">
        <x:v>Venta internacional</x:v>
      </x:c>
      <x:c r="J60" s="3" t="str">
        <x:v>Arrendadora Centro</x:v>
      </x:c>
      <x:c r="K60" s="3" t="str">
        <x:v>FAC-NOVA-20260025</x:v>
      </x:c>
      <x:c r="L60" s="3" t="str">
        <x:v>COP</x:v>
      </x:c>
      <x:c r="M60" s="7" t="n">
        <x:v>1723025</x:v>
      </x:c>
      <x:c r="N60" s="7" t="n">
        <x:v>0</x:v>
      </x:c>
      <x:c r="O60" s="7" t="n">
        <x:v>1723025</x:v>
      </x:c>
      <x:c r="P60" s="3" t="str">
        <x:v>ACH</x:v>
      </x:c>
      <x:c r="Q60" s="3" t="str">
        <x:v>Operaciones</x:v>
      </x:c>
      <x:c r="R60" s="3" t="str">
        <x:v>Bogota</x:v>
      </x:c>
      <x:c r="S60" s="3" t="str">
        <x:v>Colombia</x:v>
      </x:c>
      <x:c r="T60" s="3" t="str">
        <x:v>Carlos Pena</x:v>
      </x:c>
      <x:c r="U60" s="3" t="str">
        <x:v>Conciliado</x:v>
      </x:c>
      <x:c r="V60" s="5" t="n">
        <x:v>46052</x:v>
      </x:c>
      <x:c r="W60" s="9" t="n">
        <x:v>0</x:v>
      </x:c>
      <x:c r="X60" s="3" t="str">
        <x:v>Bajo</x:v>
      </x:c>
      <x:c r="Y60" s="3" t="str">
        <x:v>PSE</x:v>
      </x:c>
      <x:c r="Z60" s="3" t="str"/>
      <x:c r="AA60" s="3" t="str">
        <x:v>No</x:v>
      </x:c>
      <x:c r="AB60" s="3" t="str"/>
    </x:row>
    <x:row r="61">
      <x:c r="A61" s="3" t="str">
        <x:v>NOVA-TRX-0052</x:v>
      </x:c>
      <x:c r="B61" s="5" t="n">
        <x:v>46045</x:v>
      </x:c>
      <x:c r="C61" s="5" t="n">
        <x:v>46046</x:v>
      </x:c>
      <x:c r="D61" s="3" t="str">
        <x:v>EMP-101</x:v>
      </x:c>
      <x:c r="E61" s="3" t="str">
        <x:v>Nova Retail S.A.S.</x:v>
      </x:c>
      <x:c r="F61" s="3" t="str">
        <x:v>1101-884422</x:v>
      </x:c>
      <x:c r="G61" s="3" t="str">
        <x:v>Banco Andino</x:v>
      </x:c>
      <x:c r="H61" s="3" t="str">
        <x:v>Egreso</x:v>
      </x:c>
      <x:c r="I61" s="3" t="str">
        <x:v>Arriendo</x:v>
      </x:c>
      <x:c r="J61" s="3" t="str">
        <x:v>Aduanas Global</x:v>
      </x:c>
      <x:c r="K61" s="3" t="str">
        <x:v>PAG-NOVA-20260052</x:v>
      </x:c>
      <x:c r="L61" s="3" t="str">
        <x:v>COP</x:v>
      </x:c>
      <x:c r="M61" s="7" t="n">
        <x:v>-3454292</x:v>
      </x:c>
      <x:c r="N61" s="7" t="n">
        <x:v>-656315.48</x:v>
      </x:c>
      <x:c r="O61" s="7" t="n">
        <x:v>-4110607.48</x:v>
      </x:c>
      <x:c r="P61" s="3" t="str">
        <x:v>Tarjeta credito</x:v>
      </x:c>
      <x:c r="Q61" s="3" t="str">
        <x:v>Comercial</x:v>
      </x:c>
      <x:c r="R61" s="3" t="str">
        <x:v>Bogota</x:v>
      </x:c>
      <x:c r="S61" s="3" t="str">
        <x:v>Colombia</x:v>
      </x:c>
      <x:c r="T61" s="3" t="str">
        <x:v>Carlos Pena</x:v>
      </x:c>
      <x:c r="U61" s="3" t="str">
        <x:v>Diferencia</x:v>
      </x:c>
      <x:c r="V61" s="5" t="n">
        <x:v>46043</x:v>
      </x:c>
      <x:c r="W61" s="9" t="n">
        <x:v>20</x:v>
      </x:c>
      <x:c r="X61" s="3" t="str">
        <x:v>Medio</x:v>
      </x:c>
      <x:c r="Y61" s="3" t="str">
        <x:v>Debito automatico</x:v>
      </x:c>
      <x:c r="Z61" s="3" t="str"/>
      <x:c r="AA61" s="3" t="str">
        <x:v>Si</x:v>
      </x:c>
      <x:c r="AB61" s="3" t="str">
        <x:v>Conciliacion no cerrada</x:v>
      </x:c>
    </x:row>
    <x:row r="62">
      <x:c r="A62" s="3" t="str">
        <x:v>NOVA-TRX-0011</x:v>
      </x:c>
      <x:c r="B62" s="5" t="n">
        <x:v>46046</x:v>
      </x:c>
      <x:c r="C62" s="5" t="n">
        <x:v>46046</x:v>
      </x:c>
      <x:c r="D62" s="3" t="str">
        <x:v>EMP-101</x:v>
      </x:c>
      <x:c r="E62" s="3" t="str">
        <x:v>Nova Retail S.A.S.</x:v>
      </x:c>
      <x:c r="F62" s="3" t="str">
        <x:v>1101-884422</x:v>
      </x:c>
      <x:c r="G62" s="3" t="str">
        <x:v>Banco Capital</x:v>
      </x:c>
      <x:c r="H62" s="3" t="str">
        <x:v>Ingreso</x:v>
      </x:c>
      <x:c r="I62" s="3" t="str">
        <x:v>Credito bancario</x:v>
      </x:c>
      <x:c r="J62" s="3" t="str">
        <x:v>Servicios Beta</x:v>
      </x:c>
      <x:c r="K62" s="3" t="str">
        <x:v>FAC-NOVA-20260011</x:v>
      </x:c>
      <x:c r="L62" s="3" t="str">
        <x:v>COP</x:v>
      </x:c>
      <x:c r="M62" s="7" t="n">
        <x:v>825331</x:v>
      </x:c>
      <x:c r="N62" s="7" t="n">
        <x:v>0</x:v>
      </x:c>
      <x:c r="O62" s="7" t="n">
        <x:v>825331</x:v>
      </x:c>
      <x:c r="P62" s="3" t="str">
        <x:v>Transferencia local</x:v>
      </x:c>
      <x:c r="Q62" s="3" t="str">
        <x:v>Finanzas</x:v>
      </x:c>
      <x:c r="R62" s="3" t="str">
        <x:v>Bogota</x:v>
      </x:c>
      <x:c r="S62" s="3" t="str">
        <x:v>Colombia</x:v>
      </x:c>
      <x:c r="T62" s="3" t="str">
        <x:v>Laura Mejia</x:v>
      </x:c>
      <x:c r="U62" s="3" t="str">
        <x:v>Conciliado</x:v>
      </x:c>
      <x:c r="V62" s="5" t="n">
        <x:v>46041</x:v>
      </x:c>
      <x:c r="W62" s="9" t="n">
        <x:v>0</x:v>
      </x:c>
      <x:c r="X62" s="3" t="str">
        <x:v>Bajo</x:v>
      </x:c>
      <x:c r="Y62" s="3" t="str">
        <x:v>Caja</x:v>
      </x:c>
      <x:c r="Z62" s="3" t="str"/>
      <x:c r="AA62" s="3" t="str">
        <x:v>No</x:v>
      </x:c>
      <x:c r="AB62" s="3" t="str"/>
    </x:row>
    <x:row r="63">
      <x:c r="A63" s="3" t="str">
        <x:v>NOVA-TRX-0038</x:v>
      </x:c>
      <x:c r="B63" s="5" t="n">
        <x:v>46046</x:v>
      </x:c>
      <x:c r="C63" s="5" t="n">
        <x:v>46046</x:v>
      </x:c>
      <x:c r="D63" s="3" t="str">
        <x:v>EMP-101</x:v>
      </x:c>
      <x:c r="E63" s="3" t="str">
        <x:v>Nova Retail S.A.S.</x:v>
      </x:c>
      <x:c r="F63" s="3" t="str">
        <x:v>1101-884422</x:v>
      </x:c>
      <x:c r="G63" s="3" t="str">
        <x:v>Banco Andino</x:v>
      </x:c>
      <x:c r="H63" s="3" t="str">
        <x:v>Egreso</x:v>
      </x:c>
      <x:c r="I63" s="3" t="str">
        <x:v>Comision bancaria</x:v>
      </x:c>
      <x:c r="J63" s="3" t="str">
        <x:v>Cliente Norte S.A.</x:v>
      </x:c>
      <x:c r="K63" s="3" t="str"/>
      <x:c r="L63" s="3" t="str">
        <x:v>COP</x:v>
      </x:c>
      <x:c r="M63" s="7" t="n">
        <x:v>-2556598</x:v>
      </x:c>
      <x:c r="N63" s="7" t="n">
        <x:v>0</x:v>
      </x:c>
      <x:c r="O63" s="7" t="n">
        <x:v>-2556598</x:v>
      </x:c>
      <x:c r="P63" s="3" t="str">
        <x:v>Cheque</x:v>
      </x:c>
      <x:c r="Q63" s="3" t="str">
        <x:v>Administracion</x:v>
      </x:c>
      <x:c r="R63" s="3" t="str">
        <x:v>Bogota</x:v>
      </x:c>
      <x:c r="S63" s="3" t="str">
        <x:v>Colombia</x:v>
      </x:c>
      <x:c r="T63" s="3" t="str">
        <x:v>Laura Mejia</x:v>
      </x:c>
      <x:c r="U63" s="3" t="str">
        <x:v>Conciliado</x:v>
      </x:c>
      <x:c r="V63" s="5" t="n">
        <x:v>46062</x:v>
      </x:c>
      <x:c r="W63" s="9" t="n">
        <x:v>0</x:v>
      </x:c>
      <x:c r="X63" s="3" t="str">
        <x:v>Bajo</x:v>
      </x:c>
      <x:c r="Y63" s="3" t="str">
        <x:v>Transferencia</x:v>
      </x:c>
      <x:c r="Z63" s="3" t="str">
        <x:v>Soporte pendiente</x:v>
      </x:c>
      <x:c r="AA63" s="3" t="str">
        <x:v>Si</x:v>
      </x:c>
      <x:c r="AB63" s="3" t="str">
        <x:v>Documento faltante</x:v>
      </x:c>
    </x:row>
    <x:row r="64">
      <x:c r="A64" s="3" t="str">
        <x:v>NOVA-TRX-0024</x:v>
      </x:c>
      <x:c r="B64" s="5" t="n">
        <x:v>46047</x:v>
      </x:c>
      <x:c r="C64" s="5" t="n">
        <x:v>46049</x:v>
      </x:c>
      <x:c r="D64" s="3" t="str">
        <x:v>EMP-101</x:v>
      </x:c>
      <x:c r="E64" s="3" t="str">
        <x:v>Nova Retail S.A.S.</x:v>
      </x:c>
      <x:c r="F64" s="3" t="str">
        <x:v>1101-884422</x:v>
      </x:c>
      <x:c r="G64" s="3" t="str">
        <x:v>Banco Andino</x:v>
      </x:c>
      <x:c r="H64" s="3" t="str">
        <x:v>Egreso</x:v>
      </x:c>
      <x:c r="I64" s="3" t="str">
        <x:v>Pago proveedor</x:v>
      </x:c>
      <x:c r="J64" s="3" t="str">
        <x:v>Talento Humano</x:v>
      </x:c>
      <x:c r="K64" s="3" t="str">
        <x:v>PAG-NOVA-20260024</x:v>
      </x:c>
      <x:c r="L64" s="3" t="str">
        <x:v>COP</x:v>
      </x:c>
      <x:c r="M64" s="7" t="n">
        <x:v>-1658904</x:v>
      </x:c>
      <x:c r="N64" s="7" t="n">
        <x:v>-315191.76</x:v>
      </x:c>
      <x:c r="O64" s="7" t="n">
        <x:v>-1974095.76</x:v>
      </x:c>
      <x:c r="P64" s="3" t="str">
        <x:v>Debito automatico</x:v>
      </x:c>
      <x:c r="Q64" s="3" t="str">
        <x:v>Comercial</x:v>
      </x:c>
      <x:c r="R64" s="3" t="str">
        <x:v>Bogota</x:v>
      </x:c>
      <x:c r="S64" s="3" t="str">
        <x:v>Colombia</x:v>
      </x:c>
      <x:c r="T64" s="3" t="str">
        <x:v>Ana Ruiz</x:v>
      </x:c>
      <x:c r="U64" s="3" t="str">
        <x:v>Pendiente</x:v>
      </x:c>
      <x:c r="V64" s="5" t="n">
        <x:v>46051</x:v>
      </x:c>
      <x:c r="W64" s="9" t="n">
        <x:v>12</x:v>
      </x:c>
      <x:c r="X64" s="3" t="str">
        <x:v>Bajo</x:v>
      </x:c>
      <x:c r="Y64" s="3" t="str">
        <x:v>Portal bancario</x:v>
      </x:c>
      <x:c r="Z64" s="3" t="str"/>
      <x:c r="AA64" s="3" t="str">
        <x:v>Si</x:v>
      </x:c>
      <x:c r="AB64" s="3" t="str">
        <x:v>Conciliacion no cerrada</x:v>
      </x:c>
    </x:row>
    <x:row r="65">
      <x:c r="A65" s="3" t="str">
        <x:v>NOVA-TRX-0040</x:v>
      </x:c>
      <x:c r="B65" s="5" t="n">
        <x:v>46047</x:v>
      </x:c>
      <x:c r="C65" s="5" t="n">
        <x:v>46048</x:v>
      </x:c>
      <x:c r="D65" s="3" t="str">
        <x:v>EMP-101</x:v>
      </x:c>
      <x:c r="E65" s="3" t="str">
        <x:v>Nova Retail S.A.S.</x:v>
      </x:c>
      <x:c r="F65" s="3" t="str">
        <x:v>1101-884422</x:v>
      </x:c>
      <x:c r="G65" s="3" t="str">
        <x:v>Banco Andino</x:v>
      </x:c>
      <x:c r="H65" s="3" t="str">
        <x:v>Ingreso</x:v>
      </x:c>
      <x:c r="I65" s="3" t="str">
        <x:v>Venta internacional</x:v>
      </x:c>
      <x:c r="J65" s="3" t="str">
        <x:v>Proveedor Alfa</x:v>
      </x:c>
      <x:c r="K65" s="3" t="str">
        <x:v>FAC-NOVA-20260040</x:v>
      </x:c>
      <x:c r="L65" s="3" t="str">
        <x:v>COP</x:v>
      </x:c>
      <x:c r="M65" s="7" t="n">
        <x:v>2684840</x:v>
      </x:c>
      <x:c r="N65" s="7" t="n">
        <x:v>0</x:v>
      </x:c>
      <x:c r="O65" s="7" t="n">
        <x:v>2684840</x:v>
      </x:c>
      <x:c r="P65" s="3" t="str">
        <x:v>ACH</x:v>
      </x:c>
      <x:c r="Q65" s="3" t="str">
        <x:v>Comercial</x:v>
      </x:c>
      <x:c r="R65" s="3" t="str">
        <x:v>Bogota</x:v>
      </x:c>
      <x:c r="S65" s="3" t="str">
        <x:v>Colombia</x:v>
      </x:c>
      <x:c r="T65" s="3" t="str">
        <x:v>Carlos Pena</x:v>
      </x:c>
      <x:c r="U65" s="3" t="str">
        <x:v>Pendiente</x:v>
      </x:c>
      <x:c r="V65" s="5" t="n">
        <x:v>46039</x:v>
      </x:c>
      <x:c r="W65" s="9" t="n">
        <x:v>24</x:v>
      </x:c>
      <x:c r="X65" s="3" t="str">
        <x:v>Bajo</x:v>
      </x:c>
      <x:c r="Y65" s="3" t="str">
        <x:v>Debito automatico</x:v>
      </x:c>
      <x:c r="Z65" s="3" t="str"/>
      <x:c r="AA65" s="3" t="str">
        <x:v>Si</x:v>
      </x:c>
      <x:c r="AB65" s="3" t="str">
        <x:v>Conciliacion no cerrada</x:v>
      </x:c>
    </x:row>
    <x:row r="66">
      <x:c r="A66" s="3" t="str">
        <x:v>NOVA-TRX-0067</x:v>
      </x:c>
      <x:c r="B66" s="5" t="n">
        <x:v>46047</x:v>
      </x:c>
      <x:c r="C66" s="5" t="n">
        <x:v>46047</x:v>
      </x:c>
      <x:c r="D66" s="3" t="str">
        <x:v>EMP-101</x:v>
      </x:c>
      <x:c r="E66" s="3" t="str">
        <x:v>Nova Retail S.A.S.</x:v>
      </x:c>
      <x:c r="F66" s="3" t="str">
        <x:v>1101-884422</x:v>
      </x:c>
      <x:c r="G66" s="3" t="str">
        <x:v>Banco Capital</x:v>
      </x:c>
      <x:c r="H66" s="3" t="str">
        <x:v>Egreso</x:v>
      </x:c>
      <x:c r="I66" s="3" t="str">
        <x:v>Servicios publicos</x:v>
      </x:c>
      <x:c r="J66" s="3" t="str">
        <x:v>Cliente Express</x:v>
      </x:c>
      <x:c r="K66" s="3" t="str">
        <x:v>PAG-NOVA-20260067</x:v>
      </x:c>
      <x:c r="L66" s="3" t="str">
        <x:v>COP</x:v>
      </x:c>
      <x:c r="M66" s="7" t="n">
        <x:v>-4416107</x:v>
      </x:c>
      <x:c r="N66" s="7" t="n">
        <x:v>-839060.33</x:v>
      </x:c>
      <x:c r="O66" s="7" t="n">
        <x:v>-5255167.33</x:v>
      </x:c>
      <x:c r="P66" s="3" t="str">
        <x:v>Tarjeta credito</x:v>
      </x:c>
      <x:c r="Q66" s="3" t="str">
        <x:v>Finanzas</x:v>
      </x:c>
      <x:c r="R66" s="3" t="str">
        <x:v>Bogota</x:v>
      </x:c>
      <x:c r="S66" s="3" t="str">
        <x:v>Colombia</x:v>
      </x:c>
      <x:c r="T66" s="3" t="str">
        <x:v>Carlos Pena</x:v>
      </x:c>
      <x:c r="U66" s="3" t="str">
        <x:v>Conciliado</x:v>
      </x:c>
      <x:c r="V66" s="5" t="n">
        <x:v>46060</x:v>
      </x:c>
      <x:c r="W66" s="9" t="n">
        <x:v>0</x:v>
      </x:c>
      <x:c r="X66" s="3" t="str">
        <x:v>Bajo</x:v>
      </x:c>
      <x:c r="Y66" s="3" t="str">
        <x:v>PSE</x:v>
      </x:c>
      <x:c r="Z66" s="3" t="str"/>
      <x:c r="AA66" s="3" t="str">
        <x:v>No</x:v>
      </x:c>
      <x:c r="AB66" s="3" t="str"/>
    </x:row>
    <x:row r="67">
      <x:c r="A67" s="3" t="str">
        <x:v>NOVA-TRX-0026</x:v>
      </x:c>
      <x:c r="B67" s="5" t="n">
        <x:v>46048</x:v>
      </x:c>
      <x:c r="C67" s="5" t="n">
        <x:v>46048</x:v>
      </x:c>
      <x:c r="D67" s="3" t="str">
        <x:v>EMP-101</x:v>
      </x:c>
      <x:c r="E67" s="3" t="str">
        <x:v>Nova Retail S.A.S.</x:v>
      </x:c>
      <x:c r="F67" s="3" t="str">
        <x:v>1101-884422</x:v>
      </x:c>
      <x:c r="G67" s="3" t="str">
        <x:v>Banco Andino</x:v>
      </x:c>
      <x:c r="H67" s="3" t="str">
        <x:v>Egreso</x:v>
      </x:c>
      <x:c r="I67" s="3" t="str">
        <x:v>Impuestos</x:v>
      </x:c>
      <x:c r="J67" s="3" t="str">
        <x:v>Financiera Sur</x:v>
      </x:c>
      <x:c r="K67" s="3" t="str">
        <x:v>PAG-NOVA-20260026</x:v>
      </x:c>
      <x:c r="L67" s="3" t="str">
        <x:v>COP</x:v>
      </x:c>
      <x:c r="M67" s="7" t="n">
        <x:v>-1787146</x:v>
      </x:c>
      <x:c r="N67" s="7" t="n">
        <x:v>0</x:v>
      </x:c>
      <x:c r="O67" s="7" t="n">
        <x:v>-1787146</x:v>
      </x:c>
      <x:c r="P67" s="3" t="str">
        <x:v>Transferencia local</x:v>
      </x:c>
      <x:c r="Q67" s="3" t="str">
        <x:v>Administracion</x:v>
      </x:c>
      <x:c r="R67" s="3" t="str">
        <x:v>Bogota</x:v>
      </x:c>
      <x:c r="S67" s="3" t="str">
        <x:v>Colombia</x:v>
      </x:c>
      <x:c r="T67" s="3" t="str">
        <x:v>Laura Mejia</x:v>
      </x:c>
      <x:c r="U67" s="3" t="str">
        <x:v>Diferencia</x:v>
      </x:c>
      <x:c r="V67" s="5" t="n">
        <x:v>46058</x:v>
      </x:c>
      <x:c r="W67" s="9" t="n">
        <x:v>5</x:v>
      </x:c>
      <x:c r="X67" s="3" t="str">
        <x:v>Medio</x:v>
      </x:c>
      <x:c r="Y67" s="3" t="str">
        <x:v>Transferencia</x:v>
      </x:c>
      <x:c r="Z67" s="3" t="str"/>
      <x:c r="AA67" s="3" t="str">
        <x:v>Si</x:v>
      </x:c>
      <x:c r="AB67" s="3" t="str">
        <x:v>Conciliacion no cerrada</x:v>
      </x:c>
    </x:row>
    <x:row r="68">
      <x:c r="A68" s="3" t="str">
        <x:v>NOVA-TRX-0053</x:v>
      </x:c>
      <x:c r="B68" s="5" t="n">
        <x:v>46048</x:v>
      </x:c>
      <x:c r="C68" s="5" t="n">
        <x:v>46048</x:v>
      </x:c>
      <x:c r="D68" s="3" t="str">
        <x:v>EMP-101</x:v>
      </x:c>
      <x:c r="E68" s="3" t="str">
        <x:v>Nova Retail S.A.S.</x:v>
      </x:c>
      <x:c r="F68" s="3" t="str">
        <x:v>1101-884422</x:v>
      </x:c>
      <x:c r="G68" s="3" t="str">
        <x:v>Banco Capital</x:v>
      </x:c>
      <x:c r="H68" s="3" t="str">
        <x:v>Egreso</x:v>
      </x:c>
      <x:c r="I68" s="3" t="str">
        <x:v>Reembolso</x:v>
      </x:c>
      <x:c r="J68" s="3" t="str">
        <x:v>Energia Urbana</x:v>
      </x:c>
      <x:c r="K68" s="3" t="str">
        <x:v>PAG-NOVA-20260053</x:v>
      </x:c>
      <x:c r="L68" s="3" t="str">
        <x:v>COP</x:v>
      </x:c>
      <x:c r="M68" s="7" t="n">
        <x:v>-3518413</x:v>
      </x:c>
      <x:c r="N68" s="7" t="n">
        <x:v>0</x:v>
      </x:c>
      <x:c r="O68" s="7" t="n">
        <x:v>-3518413</x:v>
      </x:c>
      <x:c r="P68" s="3" t="str">
        <x:v>Cheque</x:v>
      </x:c>
      <x:c r="Q68" s="3" t="str">
        <x:v>Operaciones</x:v>
      </x:c>
      <x:c r="R68" s="3" t="str">
        <x:v>Bogota</x:v>
      </x:c>
      <x:c r="S68" s="3" t="str">
        <x:v>Colombia</x:v>
      </x:c>
      <x:c r="T68" s="3" t="str">
        <x:v>Laura Mejia</x:v>
      </x:c>
      <x:c r="U68" s="3" t="str">
        <x:v>Conciliado</x:v>
      </x:c>
      <x:c r="V68" s="5" t="n">
        <x:v>46049</x:v>
      </x:c>
      <x:c r="W68" s="9" t="n">
        <x:v>0</x:v>
      </x:c>
      <x:c r="X68" s="3" t="str">
        <x:v>Bajo</x:v>
      </x:c>
      <x:c r="Y68" s="3" t="str">
        <x:v>Caja</x:v>
      </x:c>
      <x:c r="Z68" s="3" t="str"/>
      <x:c r="AA68" s="3" t="str">
        <x:v>No</x:v>
      </x:c>
      <x:c r="AB68" s="3" t="str"/>
    </x:row>
    <x:row r="69">
      <x:c r="A69" s="3" t="str">
        <x:v>NOVA-TRX-0012</x:v>
      </x:c>
      <x:c r="B69" s="5" t="n">
        <x:v>46049</x:v>
      </x:c>
      <x:c r="C69" s="5" t="n">
        <x:v>46051</x:v>
      </x:c>
      <x:c r="D69" s="3" t="str">
        <x:v>EMP-101</x:v>
      </x:c>
      <x:c r="E69" s="3" t="str">
        <x:v>Nova Retail S.A.S.</x:v>
      </x:c>
      <x:c r="F69" s="3" t="str">
        <x:v>1101-884422</x:v>
      </x:c>
      <x:c r="G69" s="3" t="str">
        <x:v>Banco Andino</x:v>
      </x:c>
      <x:c r="H69" s="3" t="str">
        <x:v>Egreso</x:v>
      </x:c>
      <x:c r="I69" s="3" t="str">
        <x:v>Arriendo</x:v>
      </x:c>
      <x:c r="J69" s="3" t="str">
        <x:v>Aduanas Global</x:v>
      </x:c>
      <x:c r="K69" s="3" t="str">
        <x:v>PAG-NOVA-20260012</x:v>
      </x:c>
      <x:c r="L69" s="3" t="str">
        <x:v>COP</x:v>
      </x:c>
      <x:c r="M69" s="7" t="n">
        <x:v>-889452</x:v>
      </x:c>
      <x:c r="N69" s="7" t="n">
        <x:v>-168995.88</x:v>
      </x:c>
      <x:c r="O69" s="7" t="n">
        <x:v>-1058447.88</x:v>
      </x:c>
      <x:c r="P69" s="3" t="str">
        <x:v>Tarjeta credito</x:v>
      </x:c>
      <x:c r="Q69" s="3" t="str">
        <x:v>Comercial</x:v>
      </x:c>
      <x:c r="R69" s="3" t="str">
        <x:v>Bogota</x:v>
      </x:c>
      <x:c r="S69" s="3" t="str">
        <x:v>Colombia</x:v>
      </x:c>
      <x:c r="T69" s="3" t="str">
        <x:v>Ana Ruiz</x:v>
      </x:c>
      <x:c r="U69" s="3" t="str">
        <x:v>Pendiente</x:v>
      </x:c>
      <x:c r="V69" s="5" t="n">
        <x:v>46047</x:v>
      </x:c>
      <x:c r="W69" s="9" t="n">
        <x:v>16</x:v>
      </x:c>
      <x:c r="X69" s="3" t="str">
        <x:v>Bajo</x:v>
      </x:c>
      <x:c r="Y69" s="3" t="str">
        <x:v>Portal bancario</x:v>
      </x:c>
      <x:c r="Z69" s="3" t="str"/>
      <x:c r="AA69" s="3" t="str">
        <x:v>Si</x:v>
      </x:c>
      <x:c r="AB69" s="3" t="str">
        <x:v>Conciliacion no cerrada</x:v>
      </x:c>
    </x:row>
    <x:row r="70">
      <x:c r="A70" s="3" t="str">
        <x:v>NOVA-TRX-0039</x:v>
      </x:c>
      <x:c r="B70" s="5" t="n">
        <x:v>46049</x:v>
      </x:c>
      <x:c r="C70" s="5" t="n">
        <x:v>46049</x:v>
      </x:c>
      <x:c r="D70" s="3" t="str">
        <x:v>EMP-101</x:v>
      </x:c>
      <x:c r="E70" s="3" t="str">
        <x:v>Nova Retail S.A.S.</x:v>
      </x:c>
      <x:c r="F70" s="3" t="str">
        <x:v>1101-884422</x:v>
      </x:c>
      <x:c r="G70" s="3" t="str">
        <x:v>Banco Capital</x:v>
      </x:c>
      <x:c r="H70" s="3" t="str">
        <x:v>Egreso</x:v>
      </x:c>
      <x:c r="I70" s="3" t="str">
        <x:v>Credito bancario</x:v>
      </x:c>
      <x:c r="J70" s="3" t="str">
        <x:v>Distribuidora Delta</x:v>
      </x:c>
      <x:c r="K70" s="3" t="str">
        <x:v>PAG-NOVA-20260039</x:v>
      </x:c>
      <x:c r="L70" s="3" t="str">
        <x:v>COP</x:v>
      </x:c>
      <x:c r="M70" s="7" t="n">
        <x:v>-2620719</x:v>
      </x:c>
      <x:c r="N70" s="7" t="n">
        <x:v>0</x:v>
      </x:c>
      <x:c r="O70" s="7" t="n">
        <x:v>-2620719</x:v>
      </x:c>
      <x:c r="P70" s="3" t="str">
        <x:v>Debito automatico</x:v>
      </x:c>
      <x:c r="Q70" s="3" t="str">
        <x:v>Finanzas</x:v>
      </x:c>
      <x:c r="R70" s="3" t="str">
        <x:v>Bogota</x:v>
      </x:c>
      <x:c r="S70" s="3" t="str">
        <x:v>Colombia</x:v>
      </x:c>
      <x:c r="T70" s="3" t="str">
        <x:v>Ana Ruiz</x:v>
      </x:c>
      <x:c r="U70" s="3" t="str">
        <x:v>Diferencia</x:v>
      </x:c>
      <x:c r="V70" s="5" t="n">
        <x:v>46068</x:v>
      </x:c>
      <x:c r="W70" s="9" t="n">
        <x:v>0</x:v>
      </x:c>
      <x:c r="X70" s="3" t="str">
        <x:v>Medio</x:v>
      </x:c>
      <x:c r="Y70" s="3" t="str">
        <x:v>Tarjeta</x:v>
      </x:c>
      <x:c r="Z70" s="3" t="str"/>
      <x:c r="AA70" s="3" t="str">
        <x:v>Si</x:v>
      </x:c>
      <x:c r="AB70" s="3" t="str">
        <x:v>Conciliacion no cerrada</x:v>
      </x:c>
    </x:row>
    <x:row r="71">
      <x:c r="A71" s="3" t="str">
        <x:v>NOVA-TRX-0055</x:v>
      </x:c>
      <x:c r="B71" s="5" t="n">
        <x:v>46049</x:v>
      </x:c>
      <x:c r="C71" s="5" t="n">
        <x:v>46049</x:v>
      </x:c>
      <x:c r="D71" s="3" t="str">
        <x:v>EMP-101</x:v>
      </x:c>
      <x:c r="E71" s="3" t="str">
        <x:v>Nova Retail S.A.S.</x:v>
      </x:c>
      <x:c r="F71" s="3" t="str">
        <x:v>1101-884422</x:v>
      </x:c>
      <x:c r="G71" s="3" t="str">
        <x:v>Banco Capital</x:v>
      </x:c>
      <x:c r="H71" s="3" t="str">
        <x:v>Ingreso</x:v>
      </x:c>
      <x:c r="I71" s="3" t="str">
        <x:v>Venta internacional</x:v>
      </x:c>
      <x:c r="J71" s="3" t="str">
        <x:v>Arrendadora Centro</x:v>
      </x:c>
      <x:c r="K71" s="3" t="str">
        <x:v>FAC-NOVA-20260055</x:v>
      </x:c>
      <x:c r="L71" s="3" t="str">
        <x:v>COP</x:v>
      </x:c>
      <x:c r="M71" s="7" t="n">
        <x:v>3646655</x:v>
      </x:c>
      <x:c r="N71" s="7" t="n">
        <x:v>0</x:v>
      </x:c>
      <x:c r="O71" s="7" t="n">
        <x:v>3646655</x:v>
      </x:c>
      <x:c r="P71" s="3" t="str">
        <x:v>ACH</x:v>
      </x:c>
      <x:c r="Q71" s="3" t="str">
        <x:v>Finanzas</x:v>
      </x:c>
      <x:c r="R71" s="3" t="str">
        <x:v>Bogota</x:v>
      </x:c>
      <x:c r="S71" s="3" t="str">
        <x:v>Colombia</x:v>
      </x:c>
      <x:c r="T71" s="3" t="str">
        <x:v>Carlos Pena</x:v>
      </x:c>
      <x:c r="U71" s="3" t="str">
        <x:v>Conciliado</x:v>
      </x:c>
      <x:c r="V71" s="5" t="n">
        <x:v>46056</x:v>
      </x:c>
      <x:c r="W71" s="9" t="n">
        <x:v>0</x:v>
      </x:c>
      <x:c r="X71" s="3" t="str">
        <x:v>Bajo</x:v>
      </x:c>
      <x:c r="Y71" s="3" t="str">
        <x:v>PSE</x:v>
      </x:c>
      <x:c r="Z71" s="3" t="str"/>
      <x:c r="AA71" s="3" t="str">
        <x:v>No</x:v>
      </x:c>
      <x:c r="AB71" s="3" t="str"/>
    </x:row>
    <x:row r="72">
      <x:c r="A72" s="3" t="str">
        <x:v>NOVA-TRX-0041</x:v>
      </x:c>
      <x:c r="B72" s="5" t="n">
        <x:v>46050</x:v>
      </x:c>
      <x:c r="C72" s="5" t="n">
        <x:v>46050</x:v>
      </x:c>
      <x:c r="D72" s="3" t="str">
        <x:v>EMP-101</x:v>
      </x:c>
      <x:c r="E72" s="3" t="str">
        <x:v>Nova Retail S.A.S.</x:v>
      </x:c>
      <x:c r="F72" s="3" t="str">
        <x:v>1101-884422</x:v>
      </x:c>
      <x:c r="G72" s="3" t="str">
        <x:v>Banco Capital</x:v>
      </x:c>
      <x:c r="H72" s="3" t="str">
        <x:v>Egreso</x:v>
      </x:c>
      <x:c r="I72" s="3" t="str">
        <x:v>Nomina</x:v>
      </x:c>
      <x:c r="J72" s="3" t="str">
        <x:v>Servicios Beta</x:v>
      </x:c>
      <x:c r="K72" s="3" t="str">
        <x:v>NOM-NOVA-20260041</x:v>
      </x:c>
      <x:c r="L72" s="3" t="str">
        <x:v>COP</x:v>
      </x:c>
      <x:c r="M72" s="7" t="n">
        <x:v>-2748961</x:v>
      </x:c>
      <x:c r="N72" s="7" t="n">
        <x:v>0</x:v>
      </x:c>
      <x:c r="O72" s="7" t="n">
        <x:v>-2748961</x:v>
      </x:c>
      <x:c r="P72" s="3" t="str">
        <x:v>Transferencia local</x:v>
      </x:c>
      <x:c r="Q72" s="3" t="str">
        <x:v>Operaciones</x:v>
      </x:c>
      <x:c r="R72" s="3" t="str">
        <x:v>Bogota</x:v>
      </x:c>
      <x:c r="S72" s="3" t="str">
        <x:v>Colombia</x:v>
      </x:c>
      <x:c r="T72" s="3" t="str">
        <x:v>Laura Mejia</x:v>
      </x:c>
      <x:c r="U72" s="3" t="str">
        <x:v>Conciliado</x:v>
      </x:c>
      <x:c r="V72" s="5" t="n">
        <x:v>46045</x:v>
      </x:c>
      <x:c r="W72" s="9" t="n">
        <x:v>0</x:v>
      </x:c>
      <x:c r="X72" s="3" t="str">
        <x:v>Bajo</x:v>
      </x:c>
      <x:c r="Y72" s="3" t="str">
        <x:v>Caja</x:v>
      </x:c>
      <x:c r="Z72" s="3" t="str"/>
      <x:c r="AA72" s="3" t="str">
        <x:v>No</x:v>
      </x:c>
      <x:c r="AB72" s="3" t="str"/>
    </x:row>
    <x:row r="73">
      <x:c r="A73" s="4" t="str">
        <x:v>NOVA-TRX-0068</x:v>
      </x:c>
      <x:c r="B73" s="6" t="n">
        <x:v>46050</x:v>
      </x:c>
      <x:c r="C73" s="6" t="n">
        <x:v>46051</x:v>
      </x:c>
      <x:c r="D73" s="4" t="str">
        <x:v>EMP-101</x:v>
      </x:c>
      <x:c r="E73" s="4" t="str">
        <x:v>Nova Retail S.A.S.</x:v>
      </x:c>
      <x:c r="F73" s="4" t="str">
        <x:v>1101-884422</x:v>
      </x:c>
      <x:c r="G73" s="4" t="str">
        <x:v>Banco Andino</x:v>
      </x:c>
      <x:c r="H73" s="4" t="str">
        <x:v>Egreso</x:v>
      </x:c>
      <x:c r="I73" s="4" t="str">
        <x:v>Arriendo</x:v>
      </x:c>
      <x:c r="J73" s="4" t="str">
        <x:v>Cliente Norte S.A.</x:v>
      </x:c>
      <x:c r="K73" s="4" t="str">
        <x:v>PAG-NOVA-20260068</x:v>
      </x:c>
      <x:c r="L73" s="4" t="str">
        <x:v>COP</x:v>
      </x:c>
      <x:c r="M73" s="8" t="n">
        <x:v>-4480228</x:v>
      </x:c>
      <x:c r="N73" s="8" t="n">
        <x:v>-851243.32</x:v>
      </x:c>
      <x:c r="O73" s="8" t="n">
        <x:v>-5331471.32</x:v>
      </x:c>
      <x:c r="P73" s="4" t="str">
        <x:v>Cheque</x:v>
      </x:c>
      <x:c r="Q73" s="4" t="str">
        <x:v>Comercial</x:v>
      </x:c>
      <x:c r="R73" s="4" t="str">
        <x:v>Bogota</x:v>
      </x:c>
      <x:c r="S73" s="4" t="str">
        <x:v>Colombia</x:v>
      </x:c>
      <x:c r="T73" s="4" t="str">
        <x:v>Laura Mejia</x:v>
      </x:c>
      <x:c r="U73" s="4" t="str">
        <x:v>Rechazado</x:v>
      </x:c>
      <x:c r="V73" s="6" t="n">
        <x:v>46066</x:v>
      </x:c>
      <x:c r="W73" s="10" t="n">
        <x:v>0</x:v>
      </x:c>
      <x:c r="X73" s="4" t="str">
        <x:v>Bajo</x:v>
      </x:c>
      <x:c r="Y73" s="4" t="str">
        <x:v>Transferencia</x:v>
      </x:c>
      <x:c r="Z73" s="4" t="str">
        <x:v>Registro rechazado por validacion bancaria</x:v>
      </x:c>
      <x:c r="AA73" s="4" t="str">
        <x:v>Si</x:v>
      </x:c>
      <x:c r="AB73" s="4" t="str">
        <x:v>Conciliacion no cerrada</x:v>
      </x:c>
    </x:row>
  </x:sheetData>
  <x:dataValidations count="4">
    <x:dataValidation type="list" sqref="H2:H73">
      <x:formula1>"Ingreso,Egreso"</x:formula1>
    </x:dataValidation>
    <x:dataValidation type="list" sqref="U2:U73">
      <x:formula1>"Conciliado,Pendiente,Diferencia,Duplicado,Rechazado"</x:formula1>
    </x:dataValidation>
    <x:dataValidation type="list" sqref="X2:X73">
      <x:formula1>"Bajo,Medio,Alto"</x:formula1>
    </x:dataValidation>
    <x:dataValidation type="list" sqref="AA2:AA73">
      <x:formula1>"Si,No"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329999923706055" hidden="0" customWidth="1"/>
    <x:col min="2" max="2" width="31.889999389648438" hidden="0" customWidth="1"/>
  </x:cols>
  <x:sheetData>
    <x:row r="1">
      <x:c r="A1" s="13" t="str">
        <x:v>Campo</x:v>
      </x:c>
      <x:c r="B1" s="13" t="str">
        <x:v>Valor</x:v>
      </x:c>
    </x:row>
    <x:row r="2">
      <x:c r="A2" t="str">
        <x:v>empresa_id</x:v>
      </x:c>
      <x:c r="B2" t="str">
        <x:v>EMP-101</x:v>
      </x:c>
    </x:row>
    <x:row r="3">
      <x:c r="A3" t="str">
        <x:v>empresa</x:v>
      </x:c>
      <x:c r="B3" t="str">
        <x:v>Nova Retail S.A.S.</x:v>
      </x:c>
    </x:row>
    <x:row r="4">
      <x:c r="A4" t="str">
        <x:v>archivo</x:v>
      </x:c>
      <x:c r="B4" t="str">
        <x:v>reporte_bancario_nova_retail_2026_01.xlsx</x:v>
      </x:c>
    </x:row>
    <x:row r="5">
      <x:c r="A5" t="str">
        <x:v>periodo</x:v>
      </x:c>
      <x:c r="B5" t="str">
        <x:v>2026-01</x:v>
      </x:c>
    </x:row>
    <x:row r="6">
      <x:c r="A6" t="str">
        <x:v>filas_transacciones</x:v>
      </x:c>
      <x:c r="B6" t="n">
        <x:v>72</x:v>
      </x:c>
    </x:row>
    <x:row r="7">
      <x:c r="A7" t="str">
        <x:v>fecha_minima</x:v>
      </x:c>
      <x:c r="B7" s="14" t="n">
        <x:v>46023</x:v>
      </x:c>
    </x:row>
    <x:row r="8">
      <x:c r="A8" t="str">
        <x:v>fecha_maxima</x:v>
      </x:c>
      <x:c r="B8" s="14" t="n">
        <x:v>46050</x:v>
      </x:c>
    </x:row>
  </x:sheetData>
  <x:pageMargins left="0.7" right="0.7" top="0.75" bottom="0.75" header="0.3" footer="0.3"/>
</x:worksheet>
</file>