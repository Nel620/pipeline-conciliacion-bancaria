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a8447386e04a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acciones" sheetId="1" r:id="R820a1d86d87e46db"/>
    <x:sheet xmlns:r="http://schemas.openxmlformats.org/officeDocument/2006/relationships" name="Diccionario" sheetId="2" r:id="Reed7bd0f9c2d4acd"/>
    <x:sheet xmlns:r="http://schemas.openxmlformats.org/officeDocument/2006/relationships" name="Automatizaciones" sheetId="3" r:id="R0dad4b18ab584a4f"/>
    <x:sheet xmlns:r="http://schemas.openxmlformats.org/officeDocument/2006/relationships" name="Resumen" sheetId="4" r:id="Rcc8d3bb2837d4d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&quot;$&quot;#,##0.00"/>
    <x:numFmt numFmtId="202" formatCode="#,##0"/>
  </x:numFmts>
  <x:fonts count="9">
    <x:font>
      <x:sz val="11"/>
      <x:name val="Carlito"/>
    </x:font>
    <x:font>
      <x:b/>
      <x:sz val="11"/>
      <x:color rgb="FF17324D"/>
      <x:name val="Carlito"/>
    </x:font>
    <x:font>
      <x:b/>
      <x:sz val="10"/>
      <x:color rgb="FF17324D"/>
      <x:name val="Aptos"/>
    </x:font>
    <x:font>
      <x:b/>
      <x:sz val="11"/>
      <x:color rgb="FF255F85"/>
      <x:name val="Carlito"/>
    </x:font>
    <x:font>
      <x:b/>
      <x:sz val="10"/>
      <x:color rgb="FF255F85"/>
      <x:name val="Aptos"/>
    </x:font>
    <x:font>
      <x:b/>
      <x:sz val="11"/>
      <x:color rgb="FF456B3F"/>
      <x:name val="Carlito"/>
    </x:font>
    <x:font>
      <x:b/>
      <x:sz val="10"/>
      <x:color rgb="FF456B3F"/>
      <x:name val="Aptos"/>
    </x:font>
    <x:font>
      <x:b/>
      <x:sz val="16"/>
      <x:color rgb="FF17324D"/>
      <x:name val="Carlito"/>
    </x:font>
    <x:font>
      <x:sz val="10"/>
      <x:name val="Aptos"/>
    </x:font>
  </x:fonts>
  <x:fills count="2">
    <x:fill>
      <x:patternFill patternType="none"/>
    </x:fill>
    <x:fill>
      <x:patternFill patternType="gray125"/>
    </x:fill>
  </x:fills>
  <x:borders count="19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  <x:border>
      <x:right style="thin">
        <x:color rgb="FFD9E2EC"/>
      </x:right>
      <x:bottom style="thin">
        <x:color rgb="FFE6EDF3"/>
      </x:bottom>
    </x:border>
    <x:border>
      <x:left style="thin">
        <x:color rgb="FFD9E2EC"/>
      </x:left>
      <x:right style="thin">
        <x:color rgb="FFD9E2EC"/>
      </x:right>
      <x:bottom style="thin">
        <x:color rgb="FFE6EDF3"/>
      </x:bottom>
    </x:border>
    <x:border>
      <x:left style="thin">
        <x:color rgb="FFD9E2EC"/>
      </x:left>
      <x:bottom style="thin">
        <x:color rgb="FFE6EDF3"/>
      </x:bottom>
    </x:border>
    <x:border>
      <x:right style="thin">
        <x:color rgb="FFD9E2EC"/>
      </x:right>
      <x:top style="thin">
        <x:color rgb="FFE6EDF3"/>
      </x:top>
      <x:bottom style="thin">
        <x:color rgb="FFE6EDF3"/>
      </x:bottom>
    </x:border>
    <x:border>
      <x:left style="thin">
        <x:color rgb="FFD9E2EC"/>
      </x:left>
      <x:right style="thin">
        <x:color rgb="FFD9E2EC"/>
      </x:right>
      <x:top style="thin">
        <x:color rgb="FFE6EDF3"/>
      </x:top>
      <x:bottom style="thin">
        <x:color rgb="FFE6EDF3"/>
      </x:bottom>
    </x:border>
    <x:border>
      <x:left style="thin">
        <x:color rgb="FFD9E2EC"/>
      </x:left>
      <x:top style="thin">
        <x:color rgb="FFE6EDF3"/>
      </x:top>
      <x:bottom style="thin">
        <x:color rgb="FFE6EDF3"/>
      </x:bottom>
    </x:border>
    <x:border>
      <x:right style="thin">
        <x:color rgb="FFD9E2EC"/>
      </x:right>
      <x:top style="thin">
        <x:color rgb="FFE6EDF3"/>
      </x:top>
      <x:bottom style="thin">
        <x:color rgb="FFB7C6D7"/>
      </x:bottom>
    </x:border>
    <x:border>
      <x:left style="thin">
        <x:color rgb="FFD9E2EC"/>
      </x:left>
      <x:right style="thin">
        <x:color rgb="FFD9E2EC"/>
      </x:right>
      <x:top style="thin">
        <x:color rgb="FFE6EDF3"/>
      </x:top>
      <x:bottom style="thin">
        <x:color rgb="FFB7C6D7"/>
      </x:bottom>
    </x:border>
    <x:border>
      <x:left style="thin">
        <x:color rgb="FFD9E2EC"/>
      </x:left>
      <x:top style="thin">
        <x:color rgb="FFE6EDF3"/>
      </x:top>
      <x:bottom style="thin">
        <x:color rgb="FFB7C6D7"/>
      </x:bottom>
    </x:border>
  </x:borders>
  <x:cellStyleXfs count="1">
    <x:xf numFmtId="0" fontId="0" fillId="0" borderId="0"/>
  </x:cellStyleXfs>
  <x:cellXfs count="59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1" xfId="0" applyNumberFormat="1" applyFont="1" applyFill="0" applyBorder="1"/>
    <x:xf numFmtId="0" fontId="1" borderId="2" xfId="0" applyNumberFormat="1" applyFont="1" applyFill="0" applyBorder="1"/>
    <x:xf numFmtId="0" fontId="1" borderId="3" xfId="0" applyNumberFormat="1" applyFont="1" applyFill="0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5" xfId="0" applyNumberFormat="1" applyFont="1" applyFill="1" applyBorder="1"/>
    <x:xf numFmtId="200" fontId="0" fillId="0" borderId="8" xfId="0" applyNumberFormat="1" applyFont="1" applyFill="1" applyBorder="1"/>
    <x:xf numFmtId="201" fontId="0" fillId="0" borderId="5" xfId="0" applyNumberFormat="1" applyFont="1" applyFill="1" applyBorder="1"/>
    <x:xf numFmtId="201" fontId="0" fillId="0" borderId="8" xfId="0" applyNumberFormat="1" applyFont="1" applyFill="1" applyBorder="1"/>
    <x:xf numFmtId="202" fontId="0" fillId="0" borderId="5" xfId="0" applyNumberFormat="1" applyFont="1" applyFill="1" applyBorder="1"/>
    <x:xf numFmtId="202" fontId="0" fillId="0" borderId="8" xfId="0" applyNumberFormat="1" applyFont="1" applyFill="1" applyBorder="1"/>
    <x:xf numFmtId="0" fontId="2" borderId="1" xfId="0" applyNumberFormat="1" applyFont="1" applyFill="0" applyBorder="1"/>
    <x:xf numFmtId="0" fontId="2" borderId="2" xfId="0" applyNumberFormat="1" applyFont="1" applyFill="0" applyBorder="1"/>
    <x:xf numFmtId="0" fontId="2" borderId="3" xfId="0" applyNumberFormat="1" applyFont="1" applyFill="0" applyBorder="1"/>
    <x:xf numFmtId="0" fontId="2" borderId="2" xfId="0" applyNumberFormat="1" applyFont="1" applyFill="0" applyBorder="1" applyAlignment="1">
      <x:alignment wrapText="1"/>
    </x:xf>
    <x:xf numFmtId="0" fontId="2" borderId="3" xfId="0" applyNumberFormat="1" applyFont="1" applyFill="0" applyBorder="1" applyAlignment="1">
      <x:alignment wrapText="1"/>
    </x:xf>
    <x:xf numFmtId="0" fontId="2" borderId="10" xfId="0" applyNumberFormat="1" applyFont="1" applyFill="0" applyBorder="1"/>
    <x:xf numFmtId="0" fontId="2" borderId="11" xfId="0" applyNumberFormat="1" applyFont="1" applyFill="0" applyBorder="1"/>
    <x:xf numFmtId="0" fontId="2" borderId="11" xfId="0" applyNumberFormat="1" applyFont="1" applyFill="0" applyBorder="1" applyAlignment="1">
      <x:alignment wrapText="1"/>
    </x:xf>
    <x:xf numFmtId="0" fontId="2" borderId="12" xfId="0" applyNumberFormat="1" applyFont="1" applyFill="0" applyBorder="1" applyAlignment="1">
      <x:alignment wrapText="1"/>
    </x:xf>
    <x:xf numFmtId="0" fontId="0" fillId="0" borderId="13" xfId="0" applyNumberFormat="1" applyFont="1" applyFill="1" applyBorder="1"/>
    <x:xf numFmtId="200" fontId="0" fillId="0" borderId="14" xfId="0" applyNumberFormat="1" applyFont="1" applyFill="1" applyBorder="1"/>
    <x:xf numFmtId="0" fontId="0" fillId="0" borderId="14" xfId="0" applyNumberFormat="1" applyFont="1" applyFill="1" applyBorder="1"/>
    <x:xf numFmtId="201" fontId="0" fillId="0" borderId="14" xfId="0" applyNumberFormat="1" applyFont="1" applyFill="1" applyBorder="1"/>
    <x:xf numFmtId="202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200" fontId="0" fillId="0" borderId="17" xfId="0" applyNumberFormat="1" applyFont="1" applyFill="1" applyBorder="1"/>
    <x:xf numFmtId="0" fontId="0" fillId="0" borderId="17" xfId="0" applyNumberFormat="1" applyFont="1" applyFill="1" applyBorder="1"/>
    <x:xf numFmtId="201" fontId="0" fillId="0" borderId="17" xfId="0" applyNumberFormat="1" applyFont="1" applyFill="1" applyBorder="1"/>
    <x:xf numFmtId="202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3" borderId="0" xfId="0" applyNumberFormat="1" applyFont="1" applyFill="0" applyBorder="1"/>
    <x:xf numFmtId="0" fontId="4" borderId="0" xfId="0" applyNumberFormat="1" applyFont="1" applyFill="0" applyBorder="1"/>
    <x:xf numFmtId="0" fontId="4" borderId="0" xfId="0" applyNumberFormat="1" applyFont="1" applyFill="0" applyBorder="1" applyAlignment="1">
      <x:alignment wrapText="1"/>
    </x:xf>
    <x:xf numFmtId="0" fontId="4" borderId="1" xfId="0" applyNumberFormat="1" applyFont="1" applyFill="0" applyBorder="1" applyAlignment="1">
      <x:alignment wrapText="1"/>
    </x:xf>
    <x:xf numFmtId="0" fontId="4" borderId="2" xfId="0" applyNumberFormat="1" applyFont="1" applyFill="0" applyBorder="1" applyAlignment="1">
      <x:alignment wrapText="1"/>
    </x:xf>
    <x:xf numFmtId="0" fontId="4" borderId="3" xfId="0" applyNumberFormat="1" applyFont="1" applyFill="0" applyBorder="1" applyAlignment="1">
      <x:alignment wrapText="1"/>
    </x:xf>
    <x:xf numFmtId="0" fontId="5" borderId="0" xfId="0" applyNumberFormat="1" applyFont="1" applyFill="0" applyBorder="1"/>
    <x:xf numFmtId="0" fontId="6" borderId="0" xfId="0" applyNumberFormat="1" applyFont="1" applyFill="0" applyBorder="1"/>
    <x:xf numFmtId="0" fontId="6" borderId="0" xfId="0" applyNumberFormat="1" applyFont="1" applyFill="0" applyBorder="1" applyAlignment="1">
      <x:alignment wrapText="1"/>
    </x:xf>
    <x:xf numFmtId="0" fontId="6" borderId="1" xfId="0" applyNumberFormat="1" applyFont="1" applyFill="0" applyBorder="1" applyAlignment="1">
      <x:alignment wrapText="1"/>
    </x:xf>
    <x:xf numFmtId="0" fontId="6" borderId="2" xfId="0" applyNumberFormat="1" applyFont="1" applyFill="0" applyBorder="1" applyAlignment="1">
      <x:alignment wrapText="1"/>
    </x:xf>
    <x:xf numFmtId="0" fontId="6" borderId="3" xfId="0" applyNumberFormat="1" applyFont="1" applyFill="0" applyBorder="1" applyAlignment="1">
      <x:alignment wrapText="1"/>
    </x:xf>
    <x:xf numFmtId="0" fontId="7" fillId="0" borderId="0" xfId="0" applyNumberFormat="1" applyFont="1" applyFill="1" applyBorder="1"/>
    <x:xf numFmtId="201" fontId="0" fillId="0" borderId="9" xfId="0" applyNumberFormat="1" applyFont="1" applyFill="1" applyBorder="1"/>
    <x:xf numFmtId="0" fontId="3" borderId="1" xfId="0" applyNumberFormat="1" applyFont="1" applyFill="0" applyBorder="1"/>
    <x:xf numFmtId="0" fontId="3" borderId="2" xfId="0" applyNumberFormat="1" applyFont="1" applyFill="0" applyBorder="1"/>
    <x:xf numFmtId="0" fontId="3" borderId="3" xfId="0" applyNumberFormat="1" applyFont="1" applyFill="0" applyBorder="1"/>
    <x:xf numFmtId="201" fontId="0" fillId="0" borderId="6" xfId="0" applyNumberFormat="1" applyFont="1" applyFill="1" applyBorder="1"/>
    <x:xf numFmtId="0" fontId="2" fillId="0" borderId="0" xfId="0" applyNumberFormat="1" applyFont="1" applyFill="1" applyBorder="1"/>
    <x:xf numFmtId="0" fontId="8" fillId="0" borderId="0" xfId="0" applyNumberFormat="1" applyFont="1" applyFill="1" applyBorder="1"/>
  </x:cellXfs>
  <x:cellStyles count="1">
    <x:cellStyle name="Normal" xfId="0"/>
  </x:cellStyles>
  <x:dxfs count="2">
    <x:dxf>
      <x:font>
        <x:b/>
        <x:color rgb="FF7A4D00"/>
      </x:font>
    </x:dxf>
    <x:dxf>
      <x:font>
        <x:b/>
        <x:color rgb="FF842029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be5e528ae54ff5" /><Relationship Type="http://schemas.openxmlformats.org/officeDocument/2006/relationships/theme" Target="/xl/theme/theme1.xml" Id="R5989b2ffa97c42e3" /><Relationship Type="http://schemas.openxmlformats.org/officeDocument/2006/relationships/sharedStrings" Target="/xl/sharedStrings.xml" Id="Rfafac958b9664c26" /><Relationship Type="http://schemas.openxmlformats.org/officeDocument/2006/relationships/worksheet" Target="/xl/worksheets/sheet1.xml" Id="R820a1d86d87e46db" /><Relationship Type="http://schemas.openxmlformats.org/officeDocument/2006/relationships/worksheet" Target="/xl/worksheets/sheet2.xml" Id="Reed7bd0f9c2d4acd" /><Relationship Type="http://schemas.openxmlformats.org/officeDocument/2006/relationships/worksheet" Target="/xl/worksheets/sheet3.xml" Id="R0dad4b18ab584a4f" /><Relationship Type="http://schemas.openxmlformats.org/officeDocument/2006/relationships/worksheet" Target="/xl/worksheets/sheet4.xml" Id="Rcc8d3bb2837d4d6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109999656677246" hidden="0" customWidth="1"/>
    <x:col min="2" max="2" width="11.5600004196167" hidden="0" customWidth="1"/>
    <x:col min="3" max="3" width="10.670000076293945" hidden="0" customWidth="1"/>
    <x:col min="4" max="4" width="8.220000267028809" hidden="0" customWidth="1"/>
    <x:col min="5" max="5" width="17.670000076293945" hidden="0" customWidth="1"/>
    <x:col min="6" max="6" width="11.4399995803833" hidden="0" customWidth="1"/>
    <x:col min="7" max="7" width="12" hidden="0" customWidth="1"/>
    <x:col min="8" max="8" width="11.4399995803833" hidden="0" customWidth="1"/>
    <x:col min="9" max="9" width="14.329999923706055" hidden="0" customWidth="1"/>
    <x:col min="10" max="10" width="14.890000343322754" hidden="0" customWidth="1"/>
    <x:col min="11" max="11" width="12.220000267028809" hidden="0" customWidth="1"/>
    <x:col min="12" max="12" width="5.889999866485596" hidden="0" customWidth="1"/>
    <x:col min="13" max="13" width="11.5600004196167" hidden="0" customWidth="1"/>
    <x:col min="14" max="14" width="11.5600004196167" hidden="0" customWidth="1"/>
    <x:col min="15" max="15" width="12.4399995803833" hidden="0" customWidth="1"/>
    <x:col min="16" max="16" width="14" hidden="0" customWidth="1"/>
    <x:col min="17" max="17" width="11.329999923706055" hidden="0" customWidth="1"/>
    <x:col min="18" max="18" width="9.220000267028809" hidden="0" customWidth="1"/>
    <x:col min="19" max="19" width="7.559999942779541" hidden="0" customWidth="1"/>
    <x:col min="20" max="20" width="9.5600004196167" hidden="0" customWidth="1"/>
    <x:col min="21" max="21" width="13.670000076293945" hidden="0" customWidth="1"/>
    <x:col min="22" max="22" width="12.890000343322754" hidden="0" customWidth="1"/>
    <x:col min="23" max="23" width="7.329999923706055" hidden="0" customWidth="1"/>
    <x:col min="24" max="24" width="8.329999923706055" hidden="0" customWidth="1"/>
    <x:col min="25" max="25" width="13.890000343322754" hidden="0" customWidth="1"/>
    <x:col min="26" max="26" width="28" hidden="0" customWidth="1"/>
    <x:col min="27" max="27" width="28" hidden="0" customWidth="1"/>
    <x:col min="28" max="28" width="28" hidden="0" customWidth="1"/>
  </x:cols>
  <x:sheetData>
    <x:row r="1" ht="24" customHeight="1">
      <x:c r="A1" s="23" t="str">
        <x:v>transaccion_id</x:v>
      </x:c>
      <x:c r="B1" s="24" t="str">
        <x:v>fecha_operacion</x:v>
      </x:c>
      <x:c r="C1" s="24" t="str">
        <x:v>fecha_contable</x:v>
      </x:c>
      <x:c r="D1" s="24" t="str">
        <x:v>empresa_id</x:v>
      </x:c>
      <x:c r="E1" s="24" t="str">
        <x:v>empresa</x:v>
      </x:c>
      <x:c r="F1" s="24" t="str">
        <x:v>cuenta_bancaria</x:v>
      </x:c>
      <x:c r="G1" s="24" t="str">
        <x:v>banco</x:v>
      </x:c>
      <x:c r="H1" s="24" t="str">
        <x:v>tipo_movimiento</x:v>
      </x:c>
      <x:c r="I1" s="24" t="str">
        <x:v>categoria</x:v>
      </x:c>
      <x:c r="J1" s="24" t="str">
        <x:v>proveedor_cliente</x:v>
      </x:c>
      <x:c r="K1" s="24" t="str">
        <x:v>documento_ref</x:v>
      </x:c>
      <x:c r="L1" s="24" t="str">
        <x:v>moneda</x:v>
      </x:c>
      <x:c r="M1" s="24" t="str">
        <x:v>valor_bruto</x:v>
      </x:c>
      <x:c r="N1" s="24" t="str">
        <x:v>impuesto_iva</x:v>
      </x:c>
      <x:c r="O1" s="24" t="str">
        <x:v>valor_neto</x:v>
      </x:c>
      <x:c r="P1" s="24" t="str">
        <x:v>metodo_pago</x:v>
      </x:c>
      <x:c r="Q1" s="24" t="str">
        <x:v>centro_costo</x:v>
      </x:c>
      <x:c r="R1" s="24" t="str">
        <x:v>ciudad</x:v>
      </x:c>
      <x:c r="S1" s="24" t="str">
        <x:v>pais</x:v>
      </x:c>
      <x:c r="T1" s="24" t="str">
        <x:v>responsable</x:v>
      </x:c>
      <x:c r="U1" s="24" t="str">
        <x:v>estado_conciliacion</x:v>
      </x:c>
      <x:c r="V1" s="24" t="str">
        <x:v>fecha_vencimiento</x:v>
      </x:c>
      <x:c r="W1" s="24" t="str">
        <x:v>dias_mora</x:v>
      </x:c>
      <x:c r="X1" s="24" t="str">
        <x:v>nivel_riesgo</x:v>
      </x:c>
      <x:c r="Y1" s="24" t="str">
        <x:v>canal</x:v>
      </x:c>
      <x:c r="Z1" s="25" t="str">
        <x:v>observaciones</x:v>
      </x:c>
      <x:c r="AA1" s="25" t="str">
        <x:v>requiere_revision</x:v>
      </x:c>
      <x:c r="AB1" s="26" t="str">
        <x:v>motivo_revision</x:v>
      </x:c>
    </x:row>
    <x:row r="2">
      <x:c r="A2" s="27" t="str">
        <x:v>TRX-001</x:v>
      </x:c>
      <x:c r="B2" s="28" t="n">
        <x:v>46029</x:v>
      </x:c>
      <x:c r="C2" s="28" t="n">
        <x:v>46029</x:v>
      </x:c>
      <x:c r="D2" s="29" t="str">
        <x:v>EMP-002</x:v>
      </x:c>
      <x:c r="E2" s="29" t="str">
        <x:v>Logistica Prisma Ltda.</x:v>
      </x:c>
      <x:c r="F2" s="29" t="str">
        <x:v>1002-553311</x:v>
      </x:c>
      <x:c r="G2" s="29" t="str">
        <x:v>Banco Capital</x:v>
      </x:c>
      <x:c r="H2" s="29" t="str">
        <x:v>Egreso</x:v>
      </x:c>
      <x:c r="I2" s="29" t="str">
        <x:v>Nomina</x:v>
      </x:c>
      <x:c r="J2" s="29" t="str">
        <x:v>Servicios Beta</x:v>
      </x:c>
      <x:c r="K2" s="29" t="str">
        <x:v>NOM-20260001</x:v>
      </x:c>
      <x:c r="L2" s="29" t="str">
        <x:v>COP</x:v>
      </x:c>
      <x:c r="M2" s="30" t="n">
        <x:v>-156933</x:v>
      </x:c>
      <x:c r="N2" s="30" t="n">
        <x:v>0</x:v>
      </x:c>
      <x:c r="O2" s="30" t="n">
        <x:v>-156933</x:v>
      </x:c>
      <x:c r="P2" s="29" t="str">
        <x:v>Transferencia local</x:v>
      </x:c>
      <x:c r="Q2" s="29" t="str">
        <x:v>Comercial</x:v>
      </x:c>
      <x:c r="R2" s="29" t="str">
        <x:v>Medellin</x:v>
      </x:c>
      <x:c r="S2" s="29" t="str">
        <x:v>Colombia</x:v>
      </x:c>
      <x:c r="T2" s="29" t="str">
        <x:v>Carlos Pena</x:v>
      </x:c>
      <x:c r="U2" s="29" t="str">
        <x:v>Conciliado</x:v>
      </x:c>
      <x:c r="V2" s="28" t="n">
        <x:v>46022</x:v>
      </x:c>
      <x:c r="W2" s="31" t="n">
        <x:v>0</x:v>
      </x:c>
      <x:c r="X2" s="29" t="str">
        <x:v>Bajo</x:v>
      </x:c>
      <x:c r="Y2" s="29" t="str">
        <x:v>PSE</x:v>
      </x:c>
      <x:c r="Z2" s="29" t="str"/>
      <x:c r="AA2" s="29" t="str">
        <x:v>No</x:v>
      </x:c>
      <x:c r="AB2" s="32" t="str"/>
    </x:row>
    <x:row r="3">
      <x:c r="A3" s="27" t="str">
        <x:v>TRX-002</x:v>
      </x:c>
      <x:c r="B3" s="28" t="n">
        <x:v>46032</x:v>
      </x:c>
      <x:c r="C3" s="28" t="n">
        <x:v>46032</x:v>
      </x:c>
      <x:c r="D3" s="29" t="str">
        <x:v>EMP-003</x:v>
      </x:c>
      <x:c r="E3" s="29" t="str">
        <x:v>Insumos Horizonte S.A.</x:v>
      </x:c>
      <x:c r="F3" s="29" t="str">
        <x:v>1003-902244</x:v>
      </x:c>
      <x:c r="G3" s="29" t="str">
        <x:v>Banco Pacifico</x:v>
      </x:c>
      <x:c r="H3" s="29" t="str">
        <x:v>Egreso</x:v>
      </x:c>
      <x:c r="I3" s="29" t="str">
        <x:v>Impuestos</x:v>
      </x:c>
      <x:c r="J3" s="29" t="str">
        <x:v>Aduanas Global</x:v>
      </x:c>
      <x:c r="K3" s="29" t="str">
        <x:v>PAG-20260002</x:v>
      </x:c>
      <x:c r="L3" s="29" t="str">
        <x:v>COP</x:v>
      </x:c>
      <x:c r="M3" s="30" t="n">
        <x:v>-228866</x:v>
      </x:c>
      <x:c r="N3" s="30" t="n">
        <x:v>0</x:v>
      </x:c>
      <x:c r="O3" s="30" t="n">
        <x:v>-228866</x:v>
      </x:c>
      <x:c r="P3" s="29" t="str">
        <x:v>Tarjeta credito</x:v>
      </x:c>
      <x:c r="Q3" s="29" t="str">
        <x:v>Operaciones</x:v>
      </x:c>
      <x:c r="R3" s="29" t="str">
        <x:v>Cali</x:v>
      </x:c>
      <x:c r="S3" s="29" t="str">
        <x:v>Colombia</x:v>
      </x:c>
      <x:c r="T3" s="29" t="str">
        <x:v>Diana Torres</x:v>
      </x:c>
      <x:c r="U3" s="29" t="str">
        <x:v>Conciliado</x:v>
      </x:c>
      <x:c r="V3" s="28" t="n">
        <x:v>46030</x:v>
      </x:c>
      <x:c r="W3" s="31" t="n">
        <x:v>0</x:v>
      </x:c>
      <x:c r="X3" s="29" t="str">
        <x:v>Bajo</x:v>
      </x:c>
      <x:c r="Y3" s="29" t="str">
        <x:v>Transferencia</x:v>
      </x:c>
      <x:c r="Z3" s="29" t="str"/>
      <x:c r="AA3" s="29" t="str">
        <x:v>No</x:v>
      </x:c>
      <x:c r="AB3" s="32" t="str"/>
    </x:row>
    <x:row r="4">
      <x:c r="A4" s="27" t="str">
        <x:v>TRX-003</x:v>
      </x:c>
      <x:c r="B4" s="28" t="n">
        <x:v>46035</x:v>
      </x:c>
      <x:c r="C4" s="28" t="n">
        <x:v>46035</x:v>
      </x:c>
      <x:c r="D4" s="29" t="str">
        <x:v>EMP-001</x:v>
      </x:c>
      <x:c r="E4" s="29" t="str">
        <x:v>Nova Retail S.A.S.</x:v>
      </x:c>
      <x:c r="F4" s="29" t="str">
        <x:v>1001-884422</x:v>
      </x:c>
      <x:c r="G4" s="29" t="str">
        <x:v>Banco Nacional</x:v>
      </x:c>
      <x:c r="H4" s="29" t="str">
        <x:v>Egreso</x:v>
      </x:c>
      <x:c r="I4" s="29" t="str">
        <x:v>Servicios publicos</x:v>
      </x:c>
      <x:c r="J4" s="29" t="str">
        <x:v>Energia Urbana</x:v>
      </x:c>
      <x:c r="K4" s="29" t="str">
        <x:v>PAG-20260003</x:v>
      </x:c>
      <x:c r="L4" s="29" t="str">
        <x:v>COP</x:v>
      </x:c>
      <x:c r="M4" s="30" t="n">
        <x:v>-300799</x:v>
      </x:c>
      <x:c r="N4" s="30" t="n">
        <x:v>-57151.81</x:v>
      </x:c>
      <x:c r="O4" s="30" t="n">
        <x:v>-357950.81</x:v>
      </x:c>
      <x:c r="P4" s="29" t="str">
        <x:v>Cheque</x:v>
      </x:c>
      <x:c r="Q4" s="29" t="str">
        <x:v>Tecnologia</x:v>
      </x:c>
      <x:c r="R4" s="29" t="str">
        <x:v>Barranquilla</x:v>
      </x:c>
      <x:c r="S4" s="29" t="str">
        <x:v>Colombia</x:v>
      </x:c>
      <x:c r="T4" s="29" t="str">
        <x:v>Felipe Mora</x:v>
      </x:c>
      <x:c r="U4" s="29" t="str">
        <x:v>Conciliado</x:v>
      </x:c>
      <x:c r="V4" s="28" t="n">
        <x:v>46038</x:v>
      </x:c>
      <x:c r="W4" s="31" t="n">
        <x:v>0</x:v>
      </x:c>
      <x:c r="X4" s="29" t="str">
        <x:v>Bajo</x:v>
      </x:c>
      <x:c r="Y4" s="29" t="str">
        <x:v>Tarjeta</x:v>
      </x:c>
      <x:c r="Z4" s="29" t="str"/>
      <x:c r="AA4" s="29" t="str">
        <x:v>No</x:v>
      </x:c>
      <x:c r="AB4" s="32" t="str"/>
    </x:row>
    <x:row r="5">
      <x:c r="A5" s="27" t="str">
        <x:v>TRX-004</x:v>
      </x:c>
      <x:c r="B5" s="28" t="n">
        <x:v>46038</x:v>
      </x:c>
      <x:c r="C5" s="28" t="n">
        <x:v>46039</x:v>
      </x:c>
      <x:c r="D5" s="29" t="str">
        <x:v>EMP-002</x:v>
      </x:c>
      <x:c r="E5" s="29" t="str">
        <x:v>Logistica Prisma Ltda.</x:v>
      </x:c>
      <x:c r="F5" s="29" t="str">
        <x:v>1002-553311</x:v>
      </x:c>
      <x:c r="G5" s="29" t="str">
        <x:v>Banco Andino</x:v>
      </x:c>
      <x:c r="H5" s="29" t="str">
        <x:v>Egreso</x:v>
      </x:c>
      <x:c r="I5" s="29" t="str">
        <x:v>Arriendo</x:v>
      </x:c>
      <x:c r="J5" s="29" t="str">
        <x:v>Talento Humano</x:v>
      </x:c>
      <x:c r="K5" s="29" t="str">
        <x:v>PAG-20260004</x:v>
      </x:c>
      <x:c r="L5" s="29" t="str">
        <x:v>COP</x:v>
      </x:c>
      <x:c r="M5" s="30" t="n">
        <x:v>-372732</x:v>
      </x:c>
      <x:c r="N5" s="30" t="n">
        <x:v>-70819.08</x:v>
      </x:c>
      <x:c r="O5" s="30" t="n">
        <x:v>-443551.08</x:v>
      </x:c>
      <x:c r="P5" s="29" t="str">
        <x:v>Debito automatico</x:v>
      </x:c>
      <x:c r="Q5" s="29" t="str">
        <x:v>Finanzas</x:v>
      </x:c>
      <x:c r="R5" s="29" t="str">
        <x:v>Cartagena</x:v>
      </x:c>
      <x:c r="S5" s="29" t="str">
        <x:v>Colombia</x:v>
      </x:c>
      <x:c r="T5" s="29" t="str"/>
      <x:c r="U5" s="29" t="str">
        <x:v>Pendiente</x:v>
      </x:c>
      <x:c r="V5" s="28" t="n">
        <x:v>46046</x:v>
      </x:c>
      <x:c r="W5" s="31" t="n">
        <x:v>159</x:v>
      </x:c>
      <x:c r="X5" s="29" t="str">
        <x:v>Medio</x:v>
      </x:c>
      <x:c r="Y5" s="29" t="str">
        <x:v>Debito automatico</x:v>
      </x:c>
      <x:c r="Z5" s="29" t="str"/>
      <x:c r="AA5" s="29" t="str">
        <x:v>Si</x:v>
      </x:c>
      <x:c r="AB5" s="32" t="str">
        <x:v>Conciliacion no cerrada</x:v>
      </x:c>
    </x:row>
    <x:row r="6">
      <x:c r="A6" s="27" t="str">
        <x:v>TRX-005</x:v>
      </x:c>
      <x:c r="B6" s="28" t="n">
        <x:v>46041</x:v>
      </x:c>
      <x:c r="C6" s="28" t="n">
        <x:v>46041</x:v>
      </x:c>
      <x:c r="D6" s="29" t="str">
        <x:v>EMP-003</x:v>
      </x:c>
      <x:c r="E6" s="29" t="str">
        <x:v>Insumos Horizonte S.A.</x:v>
      </x:c>
      <x:c r="F6" s="29" t="str">
        <x:v>1003-902244</x:v>
      </x:c>
      <x:c r="G6" s="29" t="str">
        <x:v>Banco Capital</x:v>
      </x:c>
      <x:c r="H6" s="29" t="str">
        <x:v>Ingreso</x:v>
      </x:c>
      <x:c r="I6" s="29" t="str">
        <x:v>Credito bancario</x:v>
      </x:c>
      <x:c r="J6" s="29" t="str">
        <x:v>Arrendadora Centro</x:v>
      </x:c>
      <x:c r="K6" s="29" t="str">
        <x:v>FAC-20260005</x:v>
      </x:c>
      <x:c r="L6" s="29" t="str">
        <x:v>COP</x:v>
      </x:c>
      <x:c r="M6" s="30" t="n">
        <x:v>444665</x:v>
      </x:c>
      <x:c r="N6" s="30" t="n">
        <x:v>0</x:v>
      </x:c>
      <x:c r="O6" s="30" t="n">
        <x:v>444665</x:v>
      </x:c>
      <x:c r="P6" s="29" t="str">
        <x:v>ACH</x:v>
      </x:c>
      <x:c r="Q6" s="29" t="str"/>
      <x:c r="R6" s="29" t="str">
        <x:v>Bogota</x:v>
      </x:c>
      <x:c r="S6" s="29" t="str">
        <x:v>Colombia</x:v>
      </x:c>
      <x:c r="T6" s="29" t="str">
        <x:v>Ana Ruiz</x:v>
      </x:c>
      <x:c r="U6" s="29" t="str">
        <x:v>Conciliado</x:v>
      </x:c>
      <x:c r="V6" s="28" t="n">
        <x:v>46054</x:v>
      </x:c>
      <x:c r="W6" s="31" t="n">
        <x:v>0</x:v>
      </x:c>
      <x:c r="X6" s="29" t="str">
        <x:v>Bajo</x:v>
      </x:c>
      <x:c r="Y6" s="29" t="str">
        <x:v>Caja</x:v>
      </x:c>
      <x:c r="Z6" s="29" t="str"/>
      <x:c r="AA6" s="29" t="str">
        <x:v>No</x:v>
      </x:c>
      <x:c r="AB6" s="32" t="str"/>
    </x:row>
    <x:row r="7">
      <x:c r="A7" s="27" t="str">
        <x:v>TRX-006</x:v>
      </x:c>
      <x:c r="B7" s="28" t="n">
        <x:v>46044</x:v>
      </x:c>
      <x:c r="C7" s="28" t="n">
        <x:v>46047</x:v>
      </x:c>
      <x:c r="D7" s="29" t="str">
        <x:v>EMP-001</x:v>
      </x:c>
      <x:c r="E7" s="29" t="str">
        <x:v>Nova Retail S.A.S.</x:v>
      </x:c>
      <x:c r="F7" s="29" t="str">
        <x:v>1001-884422</x:v>
      </x:c>
      <x:c r="G7" s="29" t="str">
        <x:v>Banco Pacifico</x:v>
      </x:c>
      <x:c r="H7" s="29" t="str">
        <x:v>Egreso</x:v>
      </x:c>
      <x:c r="I7" s="29" t="str">
        <x:v>Comision bancaria</x:v>
      </x:c>
      <x:c r="J7" s="29" t="str">
        <x:v>Financiera Sur</x:v>
      </x:c>
      <x:c r="K7" s="29" t="str">
        <x:v>PAG-20260006</x:v>
      </x:c>
      <x:c r="L7" s="29" t="str">
        <x:v>COP</x:v>
      </x:c>
      <x:c r="M7" s="30" t="n">
        <x:v>-516598</x:v>
      </x:c>
      <x:c r="N7" s="30" t="n">
        <x:v>0</x:v>
      </x:c>
      <x:c r="O7" s="30" t="n">
        <x:v>-516598</x:v>
      </x:c>
      <x:c r="P7" s="29" t="str">
        <x:v>Transferencia local</x:v>
      </x:c>
      <x:c r="Q7" s="29" t="str">
        <x:v>Administracion</x:v>
      </x:c>
      <x:c r="R7" s="29" t="str">
        <x:v>Medellin</x:v>
      </x:c>
      <x:c r="S7" s="29" t="str">
        <x:v>Colombia</x:v>
      </x:c>
      <x:c r="T7" s="29" t="str">
        <x:v>Carlos Pena</x:v>
      </x:c>
      <x:c r="U7" s="29" t="str">
        <x:v>Conciliado</x:v>
      </x:c>
      <x:c r="V7" s="28" t="n">
        <x:v>46062</x:v>
      </x:c>
      <x:c r="W7" s="31" t="n">
        <x:v>0</x:v>
      </x:c>
      <x:c r="X7" s="29" t="str">
        <x:v>Bajo</x:v>
      </x:c>
      <x:c r="Y7" s="29" t="str">
        <x:v>Portal bancario</x:v>
      </x:c>
      <x:c r="Z7" s="29" t="str"/>
      <x:c r="AA7" s="29" t="str">
        <x:v>No</x:v>
      </x:c>
      <x:c r="AB7" s="32" t="str"/>
    </x:row>
    <x:row r="8">
      <x:c r="A8" s="27" t="str">
        <x:v>TRX-007</x:v>
      </x:c>
      <x:c r="B8" s="28" t="n">
        <x:v>46047</x:v>
      </x:c>
      <x:c r="C8" s="28" t="n">
        <x:v>46047</x:v>
      </x:c>
      <x:c r="D8" s="29" t="str">
        <x:v>EMP-003</x:v>
      </x:c>
      <x:c r="E8" s="29" t="str">
        <x:v>Insumos Horizonte S.A.</x:v>
      </x:c>
      <x:c r="F8" s="29" t="str">
        <x:v>1003-902244</x:v>
      </x:c>
      <x:c r="G8" s="29" t="str">
        <x:v>Banco Nacional</x:v>
      </x:c>
      <x:c r="H8" s="29" t="str">
        <x:v>Ingreso</x:v>
      </x:c>
      <x:c r="I8" s="29" t="str">
        <x:v>Venta internacional</x:v>
      </x:c>
      <x:c r="J8" s="29" t="str">
        <x:v>Cliente Express</x:v>
      </x:c>
      <x:c r="K8" s="29" t="str">
        <x:v>FAC-20260007</x:v>
      </x:c>
      <x:c r="L8" s="29" t="str">
        <x:v>COP</x:v>
      </x:c>
      <x:c r="M8" s="30" t="n">
        <x:v>588531</x:v>
      </x:c>
      <x:c r="N8" s="30" t="n">
        <x:v>0</x:v>
      </x:c>
      <x:c r="O8" s="30" t="n">
        <x:v>588531</x:v>
      </x:c>
      <x:c r="P8" s="29" t="str">
        <x:v>Tarjeta credito</x:v>
      </x:c>
      <x:c r="Q8" s="29" t="str">
        <x:v>Comercial</x:v>
      </x:c>
      <x:c r="R8" s="29" t="str">
        <x:v>Cali</x:v>
      </x:c>
      <x:c r="S8" s="29" t="str">
        <x:v>Colombia</x:v>
      </x:c>
      <x:c r="T8" s="29" t="str">
        <x:v>Diana Torres</x:v>
      </x:c>
      <x:c r="U8" s="29" t="str">
        <x:v>Conciliado</x:v>
      </x:c>
      <x:c r="V8" s="28" t="n">
        <x:v>46070</x:v>
      </x:c>
      <x:c r="W8" s="31" t="n">
        <x:v>0</x:v>
      </x:c>
      <x:c r="X8" s="29" t="str">
        <x:v>Bajo</x:v>
      </x:c>
      <x:c r="Y8" s="29" t="str">
        <x:v>PSE</x:v>
      </x:c>
      <x:c r="Z8" s="29" t="str"/>
      <x:c r="AA8" s="29" t="str">
        <x:v>No</x:v>
      </x:c>
      <x:c r="AB8" s="32" t="str"/>
    </x:row>
    <x:row r="9">
      <x:c r="A9" s="27" t="str">
        <x:v>TRX-008</x:v>
      </x:c>
      <x:c r="B9" s="28" t="n">
        <x:v>46050</x:v>
      </x:c>
      <x:c r="C9" s="28" t="n">
        <x:v>46051</x:v>
      </x:c>
      <x:c r="D9" s="29" t="str">
        <x:v>EMP-001</x:v>
      </x:c>
      <x:c r="E9" s="29" t="str">
        <x:v>Nova Retail S.A.S.</x:v>
      </x:c>
      <x:c r="F9" s="29" t="str">
        <x:v>1001-884422</x:v>
      </x:c>
      <x:c r="G9" s="29" t="str">
        <x:v>Banco Andino</x:v>
      </x:c>
      <x:c r="H9" s="29" t="str">
        <x:v>Egreso</x:v>
      </x:c>
      <x:c r="I9" s="29" t="str">
        <x:v>Pago proveedor</x:v>
      </x:c>
      <x:c r="J9" s="29" t="str"/>
      <x:c r="K9" s="29" t="str">
        <x:v>PAG-20260008</x:v>
      </x:c>
      <x:c r="L9" s="29" t="str">
        <x:v>COP</x:v>
      </x:c>
      <x:c r="M9" s="30" t="n">
        <x:v>-660464</x:v>
      </x:c>
      <x:c r="N9" s="30" t="n">
        <x:v>-125488.16</x:v>
      </x:c>
      <x:c r="O9" s="30" t="n">
        <x:v>-785952.16</x:v>
      </x:c>
      <x:c r="P9" s="29" t="str">
        <x:v>Cheque</x:v>
      </x:c>
      <x:c r="Q9" s="29" t="str">
        <x:v>Operaciones</x:v>
      </x:c>
      <x:c r="R9" s="29" t="str">
        <x:v>Barranquilla</x:v>
      </x:c>
      <x:c r="S9" s="29" t="str">
        <x:v>Colombia</x:v>
      </x:c>
      <x:c r="T9" s="29" t="str">
        <x:v>Felipe Mora</x:v>
      </x:c>
      <x:c r="U9" s="29" t="str">
        <x:v>Pendiente</x:v>
      </x:c>
      <x:c r="V9" s="28" t="n">
        <x:v>46078</x:v>
      </x:c>
      <x:c r="W9" s="31" t="n">
        <x:v>127</x:v>
      </x:c>
      <x:c r="X9" s="29" t="str">
        <x:v>Medio</x:v>
      </x:c>
      <x:c r="Y9" s="29" t="str">
        <x:v>Transferencia</x:v>
      </x:c>
      <x:c r="Z9" s="29" t="str"/>
      <x:c r="AA9" s="29" t="str">
        <x:v>Si</x:v>
      </x:c>
      <x:c r="AB9" s="32" t="str">
        <x:v>Conciliacion no cerrada</x:v>
      </x:c>
    </x:row>
    <x:row r="10">
      <x:c r="A10" s="27" t="str">
        <x:v>TRX-009</x:v>
      </x:c>
      <x:c r="B10" s="28" t="n">
        <x:v>46053</x:v>
      </x:c>
      <x:c r="C10" s="28" t="n">
        <x:v>46053</x:v>
      </x:c>
      <x:c r="D10" s="29" t="str">
        <x:v>EMP-002</x:v>
      </x:c>
      <x:c r="E10" s="29" t="str">
        <x:v>Logistica Prisma Ltda.</x:v>
      </x:c>
      <x:c r="F10" s="29" t="str">
        <x:v>1002-553311</x:v>
      </x:c>
      <x:c r="G10" s="29" t="str">
        <x:v>Banco Capital</x:v>
      </x:c>
      <x:c r="H10" s="29" t="str">
        <x:v>Egreso</x:v>
      </x:c>
      <x:c r="I10" s="29" t="str">
        <x:v>Nomina</x:v>
      </x:c>
      <x:c r="J10" s="29" t="str">
        <x:v>Cliente Norte S.A.</x:v>
      </x:c>
      <x:c r="K10" s="29" t="str">
        <x:v>NOM-20260009</x:v>
      </x:c>
      <x:c r="L10" s="29" t="str">
        <x:v>COP</x:v>
      </x:c>
      <x:c r="M10" s="30" t="n">
        <x:v>-732397</x:v>
      </x:c>
      <x:c r="N10" s="30" t="n">
        <x:v>0</x:v>
      </x:c>
      <x:c r="O10" s="30" t="n">
        <x:v>-732397</x:v>
      </x:c>
      <x:c r="P10" s="29" t="str">
        <x:v>Debito automatico</x:v>
      </x:c>
      <x:c r="Q10" s="29" t="str">
        <x:v>Tecnologia</x:v>
      </x:c>
      <x:c r="R10" s="29" t="str">
        <x:v>Cartagena</x:v>
      </x:c>
      <x:c r="S10" s="29" t="str">
        <x:v>Colombia</x:v>
      </x:c>
      <x:c r="T10" s="29" t="str"/>
      <x:c r="U10" s="29" t="str">
        <x:v>Conciliado</x:v>
      </x:c>
      <x:c r="V10" s="28" t="n">
        <x:v>46041</x:v>
      </x:c>
      <x:c r="W10" s="31" t="n">
        <x:v>0</x:v>
      </x:c>
      <x:c r="X10" s="29" t="str">
        <x:v>Bajo</x:v>
      </x:c>
      <x:c r="Y10" s="29" t="str">
        <x:v>Tarjeta</x:v>
      </x:c>
      <x:c r="Z10" s="29" t="str"/>
      <x:c r="AA10" s="29" t="str">
        <x:v>No</x:v>
      </x:c>
      <x:c r="AB10" s="32" t="str"/>
    </x:row>
    <x:row r="11">
      <x:c r="A11" s="27" t="str">
        <x:v>TRX-010</x:v>
      </x:c>
      <x:c r="B11" s="28" t="n">
        <x:v>46056</x:v>
      </x:c>
      <x:c r="C11" s="28" t="n">
        <x:v>46056</x:v>
      </x:c>
      <x:c r="D11" s="29" t="str">
        <x:v>EMP-003</x:v>
      </x:c>
      <x:c r="E11" s="29" t="str">
        <x:v>Insumos Horizonte S.A.</x:v>
      </x:c>
      <x:c r="F11" s="29" t="str">
        <x:v>1003-902244</x:v>
      </x:c>
      <x:c r="G11" s="29" t="str">
        <x:v>Banco Pacifico</x:v>
      </x:c>
      <x:c r="H11" s="29" t="str">
        <x:v>Ingreso</x:v>
      </x:c>
      <x:c r="I11" s="29" t="str">
        <x:v>Venta internacional</x:v>
      </x:c>
      <x:c r="J11" s="29" t="str">
        <x:v>Distribuidora Delta</x:v>
      </x:c>
      <x:c r="K11" s="29" t="str">
        <x:v>FAC-20260010</x:v>
      </x:c>
      <x:c r="L11" s="29" t="str">
        <x:v>COP</x:v>
      </x:c>
      <x:c r="M11" s="30" t="n">
        <x:v>804330</x:v>
      </x:c>
      <x:c r="N11" s="30" t="n">
        <x:v>0</x:v>
      </x:c>
      <x:c r="O11" s="30" t="n">
        <x:v>804330</x:v>
      </x:c>
      <x:c r="P11" s="29" t="str">
        <x:v>ACH</x:v>
      </x:c>
      <x:c r="Q11" s="29" t="str">
        <x:v>Finanzas</x:v>
      </x:c>
      <x:c r="R11" s="29" t="str">
        <x:v>Bogota</x:v>
      </x:c>
      <x:c r="S11" s="29" t="str">
        <x:v>Colombia</x:v>
      </x:c>
      <x:c r="T11" s="29" t="str">
        <x:v>Ana Ruiz</x:v>
      </x:c>
      <x:c r="U11" s="29" t="str">
        <x:v>Conciliado</x:v>
      </x:c>
      <x:c r="V11" s="28" t="n">
        <x:v>46049</x:v>
      </x:c>
      <x:c r="W11" s="31" t="n">
        <x:v>0</x:v>
      </x:c>
      <x:c r="X11" s="29" t="str">
        <x:v>Bajo</x:v>
      </x:c>
      <x:c r="Y11" s="29" t="str">
        <x:v>Debito automatico</x:v>
      </x:c>
      <x:c r="Z11" s="29" t="str"/>
      <x:c r="AA11" s="29" t="str">
        <x:v>No</x:v>
      </x:c>
      <x:c r="AB11" s="32" t="str"/>
    </x:row>
    <x:row r="12">
      <x:c r="A12" s="27" t="str">
        <x:v>TRX-011</x:v>
      </x:c>
      <x:c r="B12" s="28" t="n">
        <x:v>46059</x:v>
      </x:c>
      <x:c r="C12" s="28" t="n">
        <x:v>46059</x:v>
      </x:c>
      <x:c r="D12" s="29" t="str">
        <x:v>EMP-001</x:v>
      </x:c>
      <x:c r="E12" s="29" t="str">
        <x:v>Nova Retail S.A.S.</x:v>
      </x:c>
      <x:c r="F12" s="29" t="str">
        <x:v>1001-884422</x:v>
      </x:c>
      <x:c r="G12" s="29" t="str">
        <x:v>Banco Nacional</x:v>
      </x:c>
      <x:c r="H12" s="29" t="str">
        <x:v>Ingreso</x:v>
      </x:c>
      <x:c r="I12" s="29" t="str">
        <x:v>Credito bancario</x:v>
      </x:c>
      <x:c r="J12" s="29" t="str">
        <x:v>Proveedor Alfa</x:v>
      </x:c>
      <x:c r="K12" s="29" t="str">
        <x:v>FAC-20260011</x:v>
      </x:c>
      <x:c r="L12" s="29" t="str">
        <x:v>COP</x:v>
      </x:c>
      <x:c r="M12" s="30" t="n">
        <x:v>876263</x:v>
      </x:c>
      <x:c r="N12" s="30" t="n">
        <x:v>0</x:v>
      </x:c>
      <x:c r="O12" s="30" t="n">
        <x:v>876263</x:v>
      </x:c>
      <x:c r="P12" s="29" t="str">
        <x:v>Transferencia local</x:v>
      </x:c>
      <x:c r="Q12" s="29" t="str"/>
      <x:c r="R12" s="29" t="str">
        <x:v>Medellin</x:v>
      </x:c>
      <x:c r="S12" s="29" t="str">
        <x:v>Colombia</x:v>
      </x:c>
      <x:c r="T12" s="29" t="str">
        <x:v>Carlos Pena</x:v>
      </x:c>
      <x:c r="U12" s="29" t="str">
        <x:v>Conciliado</x:v>
      </x:c>
      <x:c r="V12" s="28" t="n">
        <x:v>46057</x:v>
      </x:c>
      <x:c r="W12" s="31" t="n">
        <x:v>0</x:v>
      </x:c>
      <x:c r="X12" s="29" t="str">
        <x:v>Bajo</x:v>
      </x:c>
      <x:c r="Y12" s="29" t="str">
        <x:v>Caja</x:v>
      </x:c>
      <x:c r="Z12" s="29" t="str"/>
      <x:c r="AA12" s="29" t="str">
        <x:v>No</x:v>
      </x:c>
      <x:c r="AB12" s="32" t="str"/>
    </x:row>
    <x:row r="13">
      <x:c r="A13" s="27" t="str">
        <x:v>TRX-012</x:v>
      </x:c>
      <x:c r="B13" s="28" t="n">
        <x:v>46062</x:v>
      </x:c>
      <x:c r="C13" s="28" t="n">
        <x:v>46065</x:v>
      </x:c>
      <x:c r="D13" s="29" t="str">
        <x:v>EMP-002</x:v>
      </x:c>
      <x:c r="E13" s="29" t="str">
        <x:v>Logistica Prisma Ltda.</x:v>
      </x:c>
      <x:c r="F13" s="29" t="str">
        <x:v>1002-553311</x:v>
      </x:c>
      <x:c r="G13" s="29" t="str">
        <x:v>Banco Andino</x:v>
      </x:c>
      <x:c r="H13" s="29" t="str">
        <x:v>Egreso</x:v>
      </x:c>
      <x:c r="I13" s="29" t="str">
        <x:v>Arriendo</x:v>
      </x:c>
      <x:c r="J13" s="29" t="str">
        <x:v>Servicios Beta</x:v>
      </x:c>
      <x:c r="K13" s="29" t="str">
        <x:v>PAG-20260012</x:v>
      </x:c>
      <x:c r="L13" s="29" t="str">
        <x:v>COP</x:v>
      </x:c>
      <x:c r="M13" s="30" t="n">
        <x:v>-948196</x:v>
      </x:c>
      <x:c r="N13" s="30" t="n">
        <x:v>-180157.24</x:v>
      </x:c>
      <x:c r="O13" s="30" t="n">
        <x:v>-1128353.24</x:v>
      </x:c>
      <x:c r="P13" s="29" t="str">
        <x:v>Tarjeta credito</x:v>
      </x:c>
      <x:c r="Q13" s="29" t="str">
        <x:v>Administracion</x:v>
      </x:c>
      <x:c r="R13" s="29" t="str">
        <x:v>Cali</x:v>
      </x:c>
      <x:c r="S13" s="29" t="str">
        <x:v>Colombia</x:v>
      </x:c>
      <x:c r="T13" s="29" t="str">
        <x:v>Diana Torres</x:v>
      </x:c>
      <x:c r="U13" s="29" t="str">
        <x:v>Pendiente</x:v>
      </x:c>
      <x:c r="V13" s="28" t="n">
        <x:v>46065</x:v>
      </x:c>
      <x:c r="W13" s="31" t="n">
        <x:v>140</x:v>
      </x:c>
      <x:c r="X13" s="29" t="str">
        <x:v>Medio</x:v>
      </x:c>
      <x:c r="Y13" s="29" t="str">
        <x:v>Portal bancario</x:v>
      </x:c>
      <x:c r="Z13" s="29" t="str"/>
      <x:c r="AA13" s="29" t="str">
        <x:v>Si</x:v>
      </x:c>
      <x:c r="AB13" s="32" t="str">
        <x:v>Conciliacion no cerrada</x:v>
      </x:c>
    </x:row>
    <x:row r="14">
      <x:c r="A14" s="27" t="str">
        <x:v>TRX-013</x:v>
      </x:c>
      <x:c r="B14" s="28" t="n">
        <x:v>46065</x:v>
      </x:c>
      <x:c r="C14" s="28" t="n">
        <x:v>46065</x:v>
      </x:c>
      <x:c r="D14" s="29" t="str">
        <x:v>EMP-003</x:v>
      </x:c>
      <x:c r="E14" s="29" t="str">
        <x:v>Insumos Horizonte S.A.</x:v>
      </x:c>
      <x:c r="F14" s="29" t="str">
        <x:v>1003-902244</x:v>
      </x:c>
      <x:c r="G14" s="29" t="str">
        <x:v>Banco Capital</x:v>
      </x:c>
      <x:c r="H14" s="29" t="str">
        <x:v>Egreso</x:v>
      </x:c>
      <x:c r="I14" s="29" t="str">
        <x:v>Reembolso</x:v>
      </x:c>
      <x:c r="J14" s="29" t="str">
        <x:v>Aduanas Global</x:v>
      </x:c>
      <x:c r="K14" s="29" t="str">
        <x:v>PAG-20260013</x:v>
      </x:c>
      <x:c r="L14" s="29" t="str">
        <x:v>COP</x:v>
      </x:c>
      <x:c r="M14" s="30" t="n">
        <x:v>-1020129</x:v>
      </x:c>
      <x:c r="N14" s="30" t="n">
        <x:v>0</x:v>
      </x:c>
      <x:c r="O14" s="30" t="n">
        <x:v>-1020129</x:v>
      </x:c>
      <x:c r="P14" s="29" t="str">
        <x:v>Cheque</x:v>
      </x:c>
      <x:c r="Q14" s="29" t="str">
        <x:v>Comercial</x:v>
      </x:c>
      <x:c r="R14" s="29" t="str">
        <x:v>Barranquilla</x:v>
      </x:c>
      <x:c r="S14" s="29" t="str">
        <x:v>Colombia</x:v>
      </x:c>
      <x:c r="T14" s="29" t="str">
        <x:v>Felipe Mora</x:v>
      </x:c>
      <x:c r="U14" s="29" t="str">
        <x:v>Diferencia</x:v>
      </x:c>
      <x:c r="V14" s="28" t="n">
        <x:v>46073</x:v>
      </x:c>
      <x:c r="W14" s="31" t="n">
        <x:v>132</x:v>
      </x:c>
      <x:c r="X14" s="29" t="str">
        <x:v>Medio</x:v>
      </x:c>
      <x:c r="Y14" s="29" t="str">
        <x:v>PSE</x:v>
      </x:c>
      <x:c r="Z14" s="29" t="str"/>
      <x:c r="AA14" s="29" t="str">
        <x:v>Si</x:v>
      </x:c>
      <x:c r="AB14" s="32" t="str">
        <x:v>Conciliacion no cerrada</x:v>
      </x:c>
    </x:row>
    <x:row r="15">
      <x:c r="A15" s="27" t="str">
        <x:v>TRX-014</x:v>
      </x:c>
      <x:c r="B15" s="28" t="n">
        <x:v>46068</x:v>
      </x:c>
      <x:c r="C15" s="28" t="n">
        <x:v>46068</x:v>
      </x:c>
      <x:c r="D15" s="29" t="str">
        <x:v>EMP-002</x:v>
      </x:c>
      <x:c r="E15" s="29" t="str">
        <x:v>Logistica Prisma Ltda.</x:v>
      </x:c>
      <x:c r="F15" s="29" t="str">
        <x:v>1002-553311</x:v>
      </x:c>
      <x:c r="G15" s="29" t="str">
        <x:v>Banco Pacifico</x:v>
      </x:c>
      <x:c r="H15" s="29" t="str">
        <x:v>Ingreso</x:v>
      </x:c>
      <x:c r="I15" s="29" t="str">
        <x:v>Credito bancario</x:v>
      </x:c>
      <x:c r="J15" s="29" t="str">
        <x:v>Energia Urbana</x:v>
      </x:c>
      <x:c r="K15" s="29" t="str">
        <x:v>FAC-20260014</x:v>
      </x:c>
      <x:c r="L15" s="29" t="str">
        <x:v>COP</x:v>
      </x:c>
      <x:c r="M15" s="30" t="n">
        <x:v>1092062</x:v>
      </x:c>
      <x:c r="N15" s="30" t="n">
        <x:v>0</x:v>
      </x:c>
      <x:c r="O15" s="30" t="n">
        <x:v>1092062</x:v>
      </x:c>
      <x:c r="P15" s="29" t="str">
        <x:v>Debito automatico</x:v>
      </x:c>
      <x:c r="Q15" s="29" t="str">
        <x:v>Operaciones</x:v>
      </x:c>
      <x:c r="R15" s="29" t="str">
        <x:v>Cartagena</x:v>
      </x:c>
      <x:c r="S15" s="29" t="str">
        <x:v>Colombia</x:v>
      </x:c>
      <x:c r="T15" s="29" t="str"/>
      <x:c r="U15" s="29" t="str">
        <x:v>Conciliado</x:v>
      </x:c>
      <x:c r="V15" s="28" t="n">
        <x:v>46081</x:v>
      </x:c>
      <x:c r="W15" s="31" t="n">
        <x:v>0</x:v>
      </x:c>
      <x:c r="X15" s="29" t="str">
        <x:v>Bajo</x:v>
      </x:c>
      <x:c r="Y15" s="29" t="str">
        <x:v>Transferencia</x:v>
      </x:c>
      <x:c r="Z15" s="29" t="str"/>
      <x:c r="AA15" s="29" t="str">
        <x:v>No</x:v>
      </x:c>
      <x:c r="AB15" s="32" t="str"/>
    </x:row>
    <x:row r="16">
      <x:c r="A16" s="27" t="str">
        <x:v>TRX-015</x:v>
      </x:c>
      <x:c r="B16" s="28" t="n">
        <x:v>46071</x:v>
      </x:c>
      <x:c r="C16" s="28" t="n">
        <x:v>46071</x:v>
      </x:c>
      <x:c r="D16" s="29" t="str">
        <x:v>EMP-003</x:v>
      </x:c>
      <x:c r="E16" s="29" t="str">
        <x:v>Insumos Horizonte S.A.</x:v>
      </x:c>
      <x:c r="F16" s="29" t="str">
        <x:v>1003-902244</x:v>
      </x:c>
      <x:c r="G16" s="29" t="str">
        <x:v>Banco Nacional</x:v>
      </x:c>
      <x:c r="H16" s="29" t="str">
        <x:v>Ingreso</x:v>
      </x:c>
      <x:c r="I16" s="29" t="str">
        <x:v>Venta nacional</x:v>
      </x:c>
      <x:c r="J16" s="29" t="str">
        <x:v>Talento Humano</x:v>
      </x:c>
      <x:c r="K16" s="29" t="str">
        <x:v>FAC-20260015</x:v>
      </x:c>
      <x:c r="L16" s="29" t="str">
        <x:v>COP</x:v>
      </x:c>
      <x:c r="M16" s="30" t="n">
        <x:v>1163995</x:v>
      </x:c>
      <x:c r="N16" s="30" t="n">
        <x:v>221159.05</x:v>
      </x:c>
      <x:c r="O16" s="30" t="n">
        <x:v>1385154.05</x:v>
      </x:c>
      <x:c r="P16" s="29" t="str">
        <x:v>ACH</x:v>
      </x:c>
      <x:c r="Q16" s="29" t="str">
        <x:v>Tecnologia</x:v>
      </x:c>
      <x:c r="R16" s="29" t="str">
        <x:v>Bogota</x:v>
      </x:c>
      <x:c r="S16" s="29" t="str">
        <x:v>Colombia</x:v>
      </x:c>
      <x:c r="T16" s="29" t="str">
        <x:v>Ana Ruiz</x:v>
      </x:c>
      <x:c r="U16" s="29" t="str">
        <x:v>Conciliado</x:v>
      </x:c>
      <x:c r="V16" s="28" t="n">
        <x:v>46089</x:v>
      </x:c>
      <x:c r="W16" s="31" t="n">
        <x:v>0</x:v>
      </x:c>
      <x:c r="X16" s="29" t="str">
        <x:v>Bajo</x:v>
      </x:c>
      <x:c r="Y16" s="29" t="str">
        <x:v>Tarjeta</x:v>
      </x:c>
      <x:c r="Z16" s="29" t="str"/>
      <x:c r="AA16" s="29" t="str">
        <x:v>No</x:v>
      </x:c>
      <x:c r="AB16" s="32" t="str"/>
    </x:row>
    <x:row r="17">
      <x:c r="A17" s="27" t="str">
        <x:v>TRX-016</x:v>
      </x:c>
      <x:c r="B17" s="28" t="n">
        <x:v>46074</x:v>
      </x:c>
      <x:c r="C17" s="28" t="n">
        <x:v>46075</x:v>
      </x:c>
      <x:c r="D17" s="29" t="str">
        <x:v>EMP-001</x:v>
      </x:c>
      <x:c r="E17" s="29" t="str">
        <x:v>Nova Retail S.A.S.</x:v>
      </x:c>
      <x:c r="F17" s="29" t="str">
        <x:v>1001-884422</x:v>
      </x:c>
      <x:c r="G17" s="29" t="str">
        <x:v>Banco Andino</x:v>
      </x:c>
      <x:c r="H17" s="29" t="str">
        <x:v>Egreso</x:v>
      </x:c>
      <x:c r="I17" s="29" t="str">
        <x:v>Pago proveedor</x:v>
      </x:c>
      <x:c r="J17" s="29" t="str">
        <x:v>Arrendadora Centro</x:v>
      </x:c>
      <x:c r="K17" s="29" t="str">
        <x:v>PAG-20260016</x:v>
      </x:c>
      <x:c r="L17" s="29" t="str">
        <x:v>COP</x:v>
      </x:c>
      <x:c r="M17" s="30" t="n">
        <x:v>-1235928</x:v>
      </x:c>
      <x:c r="N17" s="30" t="n">
        <x:v>-234826.32</x:v>
      </x:c>
      <x:c r="O17" s="30" t="n">
        <x:v>-1470754.32</x:v>
      </x:c>
      <x:c r="P17" s="29" t="str">
        <x:v>Transferencia local</x:v>
      </x:c>
      <x:c r="Q17" s="29" t="str">
        <x:v>Finanzas</x:v>
      </x:c>
      <x:c r="R17" s="29" t="str">
        <x:v>Medellin</x:v>
      </x:c>
      <x:c r="S17" s="29" t="str">
        <x:v>Colombia</x:v>
      </x:c>
      <x:c r="T17" s="29" t="str">
        <x:v>Carlos Pena</x:v>
      </x:c>
      <x:c r="U17" s="29" t="str">
        <x:v>Pendiente</x:v>
      </x:c>
      <x:c r="V17" s="28" t="n">
        <x:v>46097</x:v>
      </x:c>
      <x:c r="W17" s="31" t="n">
        <x:v>108</x:v>
      </x:c>
      <x:c r="X17" s="29" t="str">
        <x:v>Medio</x:v>
      </x:c>
      <x:c r="Y17" s="29" t="str">
        <x:v>Debito automatico</x:v>
      </x:c>
      <x:c r="Z17" s="29" t="str"/>
      <x:c r="AA17" s="29" t="str">
        <x:v>Si</x:v>
      </x:c>
      <x:c r="AB17" s="32" t="str">
        <x:v>Conciliacion no cerrada</x:v>
      </x:c>
    </x:row>
    <x:row r="18">
      <x:c r="A18" s="27" t="str">
        <x:v>TRX-017</x:v>
      </x:c>
      <x:c r="B18" s="28" t="n">
        <x:v>46077</x:v>
      </x:c>
      <x:c r="C18" s="28" t="n">
        <x:v>46077</x:v>
      </x:c>
      <x:c r="D18" s="29" t="str">
        <x:v>EMP-002</x:v>
      </x:c>
      <x:c r="E18" s="29" t="str">
        <x:v>Logistica Prisma Ltda.</x:v>
      </x:c>
      <x:c r="F18" s="29" t="str">
        <x:v>1002-553311</x:v>
      </x:c>
      <x:c r="G18" s="29" t="str">
        <x:v>Banco Capital</x:v>
      </x:c>
      <x:c r="H18" s="29" t="str">
        <x:v>Egreso</x:v>
      </x:c>
      <x:c r="I18" s="29" t="str">
        <x:v>Nomina</x:v>
      </x:c>
      <x:c r="J18" s="29" t="str">
        <x:v>Financiera Sur</x:v>
      </x:c>
      <x:c r="K18" s="29" t="str">
        <x:v>NOM-20260017</x:v>
      </x:c>
      <x:c r="L18" s="29" t="str">
        <x:v>COP</x:v>
      </x:c>
      <x:c r="M18" s="30" t="n">
        <x:v>-1307861</x:v>
      </x:c>
      <x:c r="N18" s="30" t="n">
        <x:v>0</x:v>
      </x:c>
      <x:c r="O18" s="30" t="n">
        <x:v>-1307861</x:v>
      </x:c>
      <x:c r="P18" s="29" t="str">
        <x:v>Tarjeta credito</x:v>
      </x:c>
      <x:c r="Q18" s="29" t="str"/>
      <x:c r="R18" s="29" t="str">
        <x:v>Cali</x:v>
      </x:c>
      <x:c r="S18" s="29" t="str">
        <x:v>Colombia</x:v>
      </x:c>
      <x:c r="T18" s="29" t="str">
        <x:v>Diana Torres</x:v>
      </x:c>
      <x:c r="U18" s="29" t="str">
        <x:v>Conciliado</x:v>
      </x:c>
      <x:c r="V18" s="28" t="n">
        <x:v>46105</x:v>
      </x:c>
      <x:c r="W18" s="31" t="n">
        <x:v>0</x:v>
      </x:c>
      <x:c r="X18" s="29" t="str">
        <x:v>Bajo</x:v>
      </x:c>
      <x:c r="Y18" s="29" t="str">
        <x:v>Caja</x:v>
      </x:c>
      <x:c r="Z18" s="29" t="str">
        <x:v>Valor reportado por banco no coincide con ERP</x:v>
      </x:c>
      <x:c r="AA18" s="29" t="str">
        <x:v>No</x:v>
      </x:c>
      <x:c r="AB18" s="32" t="str"/>
    </x:row>
    <x:row r="19">
      <x:c r="A19" s="27" t="str">
        <x:v>TRX-018</x:v>
      </x:c>
      <x:c r="B19" s="28" t="n">
        <x:v>46080</x:v>
      </x:c>
      <x:c r="C19" s="28" t="n">
        <x:v>46083</x:v>
      </x:c>
      <x:c r="D19" s="29" t="str">
        <x:v>EMP-003</x:v>
      </x:c>
      <x:c r="E19" s="29" t="str">
        <x:v>Insumos Horizonte S.A.</x:v>
      </x:c>
      <x:c r="F19" s="29" t="str">
        <x:v>1003-902244</x:v>
      </x:c>
      <x:c r="G19" s="29" t="str">
        <x:v>Banco Pacifico</x:v>
      </x:c>
      <x:c r="H19" s="29" t="str">
        <x:v>Egreso</x:v>
      </x:c>
      <x:c r="I19" s="29" t="str">
        <x:v>Impuestos</x:v>
      </x:c>
      <x:c r="J19" s="29" t="str">
        <x:v>Cliente Express</x:v>
      </x:c>
      <x:c r="K19" s="29" t="str">
        <x:v>PAG-20260018</x:v>
      </x:c>
      <x:c r="L19" s="29" t="str">
        <x:v>COP</x:v>
      </x:c>
      <x:c r="M19" s="30" t="n">
        <x:v>-1379794</x:v>
      </x:c>
      <x:c r="N19" s="30" t="n">
        <x:v>0</x:v>
      </x:c>
      <x:c r="O19" s="30" t="n">
        <x:v>-1379794</x:v>
      </x:c>
      <x:c r="P19" s="29" t="str">
        <x:v>Cheque</x:v>
      </x:c>
      <x:c r="Q19" s="29" t="str">
        <x:v>Administracion</x:v>
      </x:c>
      <x:c r="R19" s="29" t="str">
        <x:v>Barranquilla</x:v>
      </x:c>
      <x:c r="S19" s="29" t="str">
        <x:v>Colombia</x:v>
      </x:c>
      <x:c r="T19" s="29" t="str">
        <x:v>Felipe Mora</x:v>
      </x:c>
      <x:c r="U19" s="29" t="str">
        <x:v>Conciliado</x:v>
      </x:c>
      <x:c r="V19" s="28" t="n">
        <x:v>46068</x:v>
      </x:c>
      <x:c r="W19" s="31" t="n">
        <x:v>0</x:v>
      </x:c>
      <x:c r="X19" s="29" t="str">
        <x:v>Bajo</x:v>
      </x:c>
      <x:c r="Y19" s="29" t="str">
        <x:v>Portal bancario</x:v>
      </x:c>
      <x:c r="Z19" s="29" t="str"/>
      <x:c r="AA19" s="29" t="str">
        <x:v>No</x:v>
      </x:c>
      <x:c r="AB19" s="32" t="str"/>
    </x:row>
    <x:row r="20">
      <x:c r="A20" s="27" t="str">
        <x:v>TRX-019</x:v>
      </x:c>
      <x:c r="B20" s="28" t="n">
        <x:v>46083</x:v>
      </x:c>
      <x:c r="C20" s="28" t="n">
        <x:v>46083</x:v>
      </x:c>
      <x:c r="D20" s="29" t="str">
        <x:v>EMP-001</x:v>
      </x:c>
      <x:c r="E20" s="29" t="str">
        <x:v>Nova Retail S.A.S.</x:v>
      </x:c>
      <x:c r="F20" s="29" t="str">
        <x:v>1001-884422</x:v>
      </x:c>
      <x:c r="G20" s="29" t="str">
        <x:v>Banco Nacional</x:v>
      </x:c>
      <x:c r="H20" s="29" t="str">
        <x:v>Egreso</x:v>
      </x:c>
      <x:c r="I20" s="29" t="str">
        <x:v>Servicios publicos</x:v>
      </x:c>
      <x:c r="J20" s="29" t="str"/>
      <x:c r="K20" s="29" t="str">
        <x:v>PAG-20260019</x:v>
      </x:c>
      <x:c r="L20" s="29" t="str">
        <x:v>COP</x:v>
      </x:c>
      <x:c r="M20" s="30" t="n">
        <x:v>-1451727</x:v>
      </x:c>
      <x:c r="N20" s="30" t="n">
        <x:v>-275828.13</x:v>
      </x:c>
      <x:c r="O20" s="30" t="n">
        <x:v>-1727555.13</x:v>
      </x:c>
      <x:c r="P20" s="29" t="str">
        <x:v>Debito automatico</x:v>
      </x:c>
      <x:c r="Q20" s="29" t="str">
        <x:v>Comercial</x:v>
      </x:c>
      <x:c r="R20" s="29" t="str">
        <x:v>Cartagena</x:v>
      </x:c>
      <x:c r="S20" s="29" t="str">
        <x:v>Colombia</x:v>
      </x:c>
      <x:c r="T20" s="29" t="str"/>
      <x:c r="U20" s="29" t="str">
        <x:v>Rechazado</x:v>
      </x:c>
      <x:c r="V20" s="28" t="n">
        <x:v>46076</x:v>
      </x:c>
      <x:c r="W20" s="31" t="n">
        <x:v>129</x:v>
      </x:c>
      <x:c r="X20" s="29" t="str">
        <x:v>Medio</x:v>
      </x:c>
      <x:c r="Y20" s="29" t="str">
        <x:v>PSE</x:v>
      </x:c>
      <x:c r="Z20" s="29" t="str"/>
      <x:c r="AA20" s="29" t="str">
        <x:v>Si</x:v>
      </x:c>
      <x:c r="AB20" s="32" t="str">
        <x:v>Conciliacion no cerrada</x:v>
      </x:c>
    </x:row>
    <x:row r="21">
      <x:c r="A21" s="27" t="str">
        <x:v>TRX-020</x:v>
      </x:c>
      <x:c r="B21" s="28" t="n">
        <x:v>46086</x:v>
      </x:c>
      <x:c r="C21" s="28" t="n">
        <x:v>46087</x:v>
      </x:c>
      <x:c r="D21" s="29" t="str">
        <x:v>EMP-002</x:v>
      </x:c>
      <x:c r="E21" s="29" t="str">
        <x:v>Logistica Prisma Ltda.</x:v>
      </x:c>
      <x:c r="F21" s="29" t="str">
        <x:v>1002-553311</x:v>
      </x:c>
      <x:c r="G21" s="29" t="str">
        <x:v>Banco Andino</x:v>
      </x:c>
      <x:c r="H21" s="29" t="str">
        <x:v>Ingreso</x:v>
      </x:c>
      <x:c r="I21" s="29" t="str">
        <x:v>Credito bancario</x:v>
      </x:c>
      <x:c r="J21" s="29" t="str">
        <x:v>Cliente Norte S.A.</x:v>
      </x:c>
      <x:c r="K21" s="29" t="str">
        <x:v>FAC-20260020</x:v>
      </x:c>
      <x:c r="L21" s="29" t="str">
        <x:v>COP</x:v>
      </x:c>
      <x:c r="M21" s="30" t="n">
        <x:v>1523660</x:v>
      </x:c>
      <x:c r="N21" s="30" t="n">
        <x:v>0</x:v>
      </x:c>
      <x:c r="O21" s="30" t="n">
        <x:v>1523660</x:v>
      </x:c>
      <x:c r="P21" s="29" t="str">
        <x:v>ACH</x:v>
      </x:c>
      <x:c r="Q21" s="29" t="str">
        <x:v>Operaciones</x:v>
      </x:c>
      <x:c r="R21" s="29" t="str">
        <x:v>Bogota</x:v>
      </x:c>
      <x:c r="S21" s="29" t="str">
        <x:v>Colombia</x:v>
      </x:c>
      <x:c r="T21" s="29" t="str">
        <x:v>Ana Ruiz</x:v>
      </x:c>
      <x:c r="U21" s="29" t="str">
        <x:v>Pendiente</x:v>
      </x:c>
      <x:c r="V21" s="28" t="n">
        <x:v>46084</x:v>
      </x:c>
      <x:c r="W21" s="31" t="n">
        <x:v>121</x:v>
      </x:c>
      <x:c r="X21" s="29" t="str">
        <x:v>Medio</x:v>
      </x:c>
      <x:c r="Y21" s="29" t="str">
        <x:v>Transferencia</x:v>
      </x:c>
      <x:c r="Z21" s="29" t="str"/>
      <x:c r="AA21" s="29" t="str">
        <x:v>Si</x:v>
      </x:c>
      <x:c r="AB21" s="32" t="str">
        <x:v>Conciliacion no cerrada</x:v>
      </x:c>
    </x:row>
    <x:row r="22">
      <x:c r="A22" s="27" t="str">
        <x:v>TRX-021</x:v>
      </x:c>
      <x:c r="B22" s="28" t="n">
        <x:v>46089</x:v>
      </x:c>
      <x:c r="C22" s="28" t="n">
        <x:v>46089</x:v>
      </x:c>
      <x:c r="D22" s="29" t="str">
        <x:v>EMP-001</x:v>
      </x:c>
      <x:c r="E22" s="29" t="str">
        <x:v>Nova Retail S.A.S.</x:v>
      </x:c>
      <x:c r="F22" s="29" t="str">
        <x:v>1001-884422</x:v>
      </x:c>
      <x:c r="G22" s="29" t="str">
        <x:v>Banco Capital</x:v>
      </x:c>
      <x:c r="H22" s="29" t="str">
        <x:v>Ingreso</x:v>
      </x:c>
      <x:c r="I22" s="29" t="str">
        <x:v>Venta nacional</x:v>
      </x:c>
      <x:c r="J22" s="29" t="str">
        <x:v>Distribuidora Delta</x:v>
      </x:c>
      <x:c r="K22" s="29" t="str">
        <x:v>FAC-20260021</x:v>
      </x:c>
      <x:c r="L22" s="29" t="str">
        <x:v>COP</x:v>
      </x:c>
      <x:c r="M22" s="30" t="n">
        <x:v>1595593</x:v>
      </x:c>
      <x:c r="N22" s="30" t="n">
        <x:v>303162.67</x:v>
      </x:c>
      <x:c r="O22" s="30" t="n">
        <x:v>1898755.67</x:v>
      </x:c>
      <x:c r="P22" s="29" t="str">
        <x:v>Transferencia local</x:v>
      </x:c>
      <x:c r="Q22" s="29" t="str">
        <x:v>Tecnologia</x:v>
      </x:c>
      <x:c r="R22" s="29" t="str">
        <x:v>Medellin</x:v>
      </x:c>
      <x:c r="S22" s="29" t="str">
        <x:v>Colombia</x:v>
      </x:c>
      <x:c r="T22" s="29" t="str">
        <x:v>Carlos Pena</x:v>
      </x:c>
      <x:c r="U22" s="29" t="str">
        <x:v>Conciliado</x:v>
      </x:c>
      <x:c r="V22" s="28" t="n">
        <x:v>46092</x:v>
      </x:c>
      <x:c r="W22" s="31" t="n">
        <x:v>0</x:v>
      </x:c>
      <x:c r="X22" s="29" t="str">
        <x:v>Bajo</x:v>
      </x:c>
      <x:c r="Y22" s="29" t="str">
        <x:v>Tarjeta</x:v>
      </x:c>
      <x:c r="Z22" s="29" t="str"/>
      <x:c r="AA22" s="29" t="str">
        <x:v>No</x:v>
      </x:c>
      <x:c r="AB22" s="32" t="str"/>
    </x:row>
    <x:row r="23">
      <x:c r="A23" s="27" t="str">
        <x:v>TRX-022</x:v>
      </x:c>
      <x:c r="B23" s="28" t="n">
        <x:v>46092</x:v>
      </x:c>
      <x:c r="C23" s="28" t="n">
        <x:v>46092</x:v>
      </x:c>
      <x:c r="D23" s="29" t="str">
        <x:v>EMP-002</x:v>
      </x:c>
      <x:c r="E23" s="29" t="str">
        <x:v>Logistica Prisma Ltda.</x:v>
      </x:c>
      <x:c r="F23" s="29" t="str">
        <x:v>1002-553311</x:v>
      </x:c>
      <x:c r="G23" s="29" t="str">
        <x:v>Banco Pacifico</x:v>
      </x:c>
      <x:c r="H23" s="29" t="str">
        <x:v>Ingreso</x:v>
      </x:c>
      <x:c r="I23" s="29" t="str">
        <x:v>Venta internacional</x:v>
      </x:c>
      <x:c r="J23" s="29" t="str">
        <x:v>Proveedor Alfa</x:v>
      </x:c>
      <x:c r="K23" s="29" t="str">
        <x:v>FAC-20260022</x:v>
      </x:c>
      <x:c r="L23" s="29" t="str">
        <x:v>COP</x:v>
      </x:c>
      <x:c r="M23" s="30" t="n">
        <x:v>1667526</x:v>
      </x:c>
      <x:c r="N23" s="30" t="n">
        <x:v>0</x:v>
      </x:c>
      <x:c r="O23" s="30" t="n">
        <x:v>1667526</x:v>
      </x:c>
      <x:c r="P23" s="29" t="str">
        <x:v>Tarjeta credito</x:v>
      </x:c>
      <x:c r="Q23" s="29" t="str">
        <x:v>Finanzas</x:v>
      </x:c>
      <x:c r="R23" s="29" t="str">
        <x:v>Cali</x:v>
      </x:c>
      <x:c r="S23" s="29" t="str">
        <x:v>Colombia</x:v>
      </x:c>
      <x:c r="T23" s="29" t="str">
        <x:v>Diana Torres</x:v>
      </x:c>
      <x:c r="U23" s="29" t="str">
        <x:v>Conciliado</x:v>
      </x:c>
      <x:c r="V23" s="28" t="n">
        <x:v>46100</x:v>
      </x:c>
      <x:c r="W23" s="31" t="n">
        <x:v>0</x:v>
      </x:c>
      <x:c r="X23" s="29" t="str">
        <x:v>Bajo</x:v>
      </x:c>
      <x:c r="Y23" s="29" t="str">
        <x:v>Debito automatico</x:v>
      </x:c>
      <x:c r="Z23" s="29" t="str"/>
      <x:c r="AA23" s="29" t="str">
        <x:v>No</x:v>
      </x:c>
      <x:c r="AB23" s="32" t="str"/>
    </x:row>
    <x:row r="24">
      <x:c r="A24" s="27" t="str">
        <x:v>TRX-023</x:v>
      </x:c>
      <x:c r="B24" s="28" t="n">
        <x:v>46095</x:v>
      </x:c>
      <x:c r="C24" s="28" t="n">
        <x:v>46095</x:v>
      </x:c>
      <x:c r="D24" s="29" t="str">
        <x:v>EMP-003</x:v>
      </x:c>
      <x:c r="E24" s="29" t="str">
        <x:v>Insumos Horizonte S.A.</x:v>
      </x:c>
      <x:c r="F24" s="29" t="str">
        <x:v>1003-902244</x:v>
      </x:c>
      <x:c r="G24" s="29" t="str">
        <x:v>Banco Nacional</x:v>
      </x:c>
      <x:c r="H24" s="29" t="str">
        <x:v>Egreso</x:v>
      </x:c>
      <x:c r="I24" s="29" t="str">
        <x:v>Credito bancario</x:v>
      </x:c>
      <x:c r="J24" s="29" t="str">
        <x:v>Servicios Beta</x:v>
      </x:c>
      <x:c r="K24" s="29" t="str"/>
      <x:c r="L24" s="29" t="str">
        <x:v>COP</x:v>
      </x:c>
      <x:c r="M24" s="30" t="n">
        <x:v>-1739459</x:v>
      </x:c>
      <x:c r="N24" s="30" t="n">
        <x:v>0</x:v>
      </x:c>
      <x:c r="O24" s="30" t="n">
        <x:v>-1739459</x:v>
      </x:c>
      <x:c r="P24" s="29" t="str">
        <x:v>Cheque</x:v>
      </x:c>
      <x:c r="Q24" s="29" t="str"/>
      <x:c r="R24" s="29" t="str">
        <x:v>Barranquilla</x:v>
      </x:c>
      <x:c r="S24" s="29" t="str">
        <x:v>Colombia</x:v>
      </x:c>
      <x:c r="T24" s="29" t="str">
        <x:v>Felipe Mora</x:v>
      </x:c>
      <x:c r="U24" s="29" t="str">
        <x:v>Conciliado</x:v>
      </x:c>
      <x:c r="V24" s="28" t="n">
        <x:v>46108</x:v>
      </x:c>
      <x:c r="W24" s="31" t="n">
        <x:v>0</x:v>
      </x:c>
      <x:c r="X24" s="29" t="str">
        <x:v>Bajo</x:v>
      </x:c>
      <x:c r="Y24" s="29" t="str">
        <x:v>Caja</x:v>
      </x:c>
      <x:c r="Z24" s="29" t="str">
        <x:v>Soporte pendiente</x:v>
      </x:c>
      <x:c r="AA24" s="29" t="str">
        <x:v>Si</x:v>
      </x:c>
      <x:c r="AB24" s="32" t="str">
        <x:v>Documento faltante</x:v>
      </x:c>
    </x:row>
    <x:row r="25">
      <x:c r="A25" s="27" t="str">
        <x:v>TRX-024</x:v>
      </x:c>
      <x:c r="B25" s="28" t="n">
        <x:v>46098</x:v>
      </x:c>
      <x:c r="C25" s="28" t="n">
        <x:v>46101</x:v>
      </x:c>
      <x:c r="D25" s="29" t="str">
        <x:v>EMP-001</x:v>
      </x:c>
      <x:c r="E25" s="29" t="str">
        <x:v>Nova Retail S.A.S.</x:v>
      </x:c>
      <x:c r="F25" s="29" t="str">
        <x:v>1001-884422</x:v>
      </x:c>
      <x:c r="G25" s="29" t="str">
        <x:v>Banco Andino</x:v>
      </x:c>
      <x:c r="H25" s="29" t="str">
        <x:v>Egreso</x:v>
      </x:c>
      <x:c r="I25" s="29" t="str">
        <x:v>Pago proveedor</x:v>
      </x:c>
      <x:c r="J25" s="29" t="str">
        <x:v>Aduanas Global</x:v>
      </x:c>
      <x:c r="K25" s="29" t="str">
        <x:v>PAG-20260024</x:v>
      </x:c>
      <x:c r="L25" s="29" t="str">
        <x:v>COP</x:v>
      </x:c>
      <x:c r="M25" s="30" t="n">
        <x:v>-1811392</x:v>
      </x:c>
      <x:c r="N25" s="30" t="n">
        <x:v>-344164.48</x:v>
      </x:c>
      <x:c r="O25" s="30" t="n">
        <x:v>-2155556.48</x:v>
      </x:c>
      <x:c r="P25" s="29" t="str">
        <x:v>Debito automatico</x:v>
      </x:c>
      <x:c r="Q25" s="29" t="str">
        <x:v>Administracion</x:v>
      </x:c>
      <x:c r="R25" s="29" t="str">
        <x:v>Cartagena</x:v>
      </x:c>
      <x:c r="S25" s="29" t="str">
        <x:v>Colombia</x:v>
      </x:c>
      <x:c r="T25" s="29" t="str"/>
      <x:c r="U25" s="29" t="str">
        <x:v>Pendiente</x:v>
      </x:c>
      <x:c r="V25" s="28" t="n">
        <x:v>46116</x:v>
      </x:c>
      <x:c r="W25" s="31" t="n">
        <x:v>89</x:v>
      </x:c>
      <x:c r="X25" s="29" t="str">
        <x:v>Medio</x:v>
      </x:c>
      <x:c r="Y25" s="29" t="str">
        <x:v>Portal bancario</x:v>
      </x:c>
      <x:c r="Z25" s="29" t="str"/>
      <x:c r="AA25" s="29" t="str">
        <x:v>Si</x:v>
      </x:c>
      <x:c r="AB25" s="32" t="str">
        <x:v>Conciliacion no cerrada</x:v>
      </x:c>
    </x:row>
    <x:row r="26">
      <x:c r="A26" s="27" t="str">
        <x:v>TRX-025</x:v>
      </x:c>
      <x:c r="B26" s="28" t="n">
        <x:v>46101</x:v>
      </x:c>
      <x:c r="C26" s="28" t="n">
        <x:v>46101</x:v>
      </x:c>
      <x:c r="D26" s="29" t="str">
        <x:v>EMP-002</x:v>
      </x:c>
      <x:c r="E26" s="29" t="str">
        <x:v>Logistica Prisma Ltda.</x:v>
      </x:c>
      <x:c r="F26" s="29" t="str">
        <x:v>1002-553311</x:v>
      </x:c>
      <x:c r="G26" s="29" t="str">
        <x:v>Banco Capital</x:v>
      </x:c>
      <x:c r="H26" s="29" t="str">
        <x:v>Ingreso</x:v>
      </x:c>
      <x:c r="I26" s="29" t="str">
        <x:v>Venta internacional</x:v>
      </x:c>
      <x:c r="J26" s="29" t="str">
        <x:v>Energia Urbana</x:v>
      </x:c>
      <x:c r="K26" s="29" t="str">
        <x:v>FAC-20260025</x:v>
      </x:c>
      <x:c r="L26" s="29" t="str">
        <x:v>COP</x:v>
      </x:c>
      <x:c r="M26" s="30" t="n">
        <x:v>1883325</x:v>
      </x:c>
      <x:c r="N26" s="30" t="n">
        <x:v>0</x:v>
      </x:c>
      <x:c r="O26" s="30" t="n">
        <x:v>1883325</x:v>
      </x:c>
      <x:c r="P26" s="29" t="str">
        <x:v>ACH</x:v>
      </x:c>
      <x:c r="Q26" s="29" t="str">
        <x:v>Comercial</x:v>
      </x:c>
      <x:c r="R26" s="29" t="str">
        <x:v>Bogota</x:v>
      </x:c>
      <x:c r="S26" s="29" t="str">
        <x:v>Colombia</x:v>
      </x:c>
      <x:c r="T26" s="29" t="str">
        <x:v>Ana Ruiz</x:v>
      </x:c>
      <x:c r="U26" s="29" t="str">
        <x:v>Conciliado</x:v>
      </x:c>
      <x:c r="V26" s="28" t="n">
        <x:v>46124</x:v>
      </x:c>
      <x:c r="W26" s="31" t="n">
        <x:v>0</x:v>
      </x:c>
      <x:c r="X26" s="29" t="str">
        <x:v>Bajo</x:v>
      </x:c>
      <x:c r="Y26" s="29" t="str">
        <x:v>PSE</x:v>
      </x:c>
      <x:c r="Z26" s="29" t="str"/>
      <x:c r="AA26" s="29" t="str">
        <x:v>No</x:v>
      </x:c>
      <x:c r="AB26" s="32" t="str"/>
    </x:row>
    <x:row r="27">
      <x:c r="A27" s="27" t="str">
        <x:v>TRX-026</x:v>
      </x:c>
      <x:c r="B27" s="28" t="n">
        <x:v>46104</x:v>
      </x:c>
      <x:c r="C27" s="28" t="n">
        <x:v>46104</x:v>
      </x:c>
      <x:c r="D27" s="29" t="str">
        <x:v>EMP-003</x:v>
      </x:c>
      <x:c r="E27" s="29" t="str">
        <x:v>Insumos Horizonte S.A.</x:v>
      </x:c>
      <x:c r="F27" s="29" t="str">
        <x:v>1003-902244</x:v>
      </x:c>
      <x:c r="G27" s="29" t="str">
        <x:v>Banco Pacifico</x:v>
      </x:c>
      <x:c r="H27" s="29" t="str">
        <x:v>Egreso</x:v>
      </x:c>
      <x:c r="I27" s="29" t="str">
        <x:v>Impuestos</x:v>
      </x:c>
      <x:c r="J27" s="29" t="str">
        <x:v>Talento Humano</x:v>
      </x:c>
      <x:c r="K27" s="29" t="str">
        <x:v>PAG-20260026</x:v>
      </x:c>
      <x:c r="L27" s="29" t="str">
        <x:v>COP</x:v>
      </x:c>
      <x:c r="M27" s="30" t="n">
        <x:v>-1955258</x:v>
      </x:c>
      <x:c r="N27" s="30" t="n">
        <x:v>0</x:v>
      </x:c>
      <x:c r="O27" s="30" t="n">
        <x:v>-1955258</x:v>
      </x:c>
      <x:c r="P27" s="29" t="str">
        <x:v>Transferencia local</x:v>
      </x:c>
      <x:c r="Q27" s="29" t="str">
        <x:v>Operaciones</x:v>
      </x:c>
      <x:c r="R27" s="29" t="str">
        <x:v>Medellin</x:v>
      </x:c>
      <x:c r="S27" s="29" t="str">
        <x:v>Colombia</x:v>
      </x:c>
      <x:c r="T27" s="29" t="str">
        <x:v>Carlos Pena</x:v>
      </x:c>
      <x:c r="U27" s="29" t="str">
        <x:v>Diferencia</x:v>
      </x:c>
      <x:c r="V27" s="28" t="n">
        <x:v>46132</x:v>
      </x:c>
      <x:c r="W27" s="31" t="n">
        <x:v>73</x:v>
      </x:c>
      <x:c r="X27" s="29" t="str">
        <x:v>Medio</x:v>
      </x:c>
      <x:c r="Y27" s="29" t="str">
        <x:v>Transferencia</x:v>
      </x:c>
      <x:c r="Z27" s="29" t="str"/>
      <x:c r="AA27" s="29" t="str">
        <x:v>Si</x:v>
      </x:c>
      <x:c r="AB27" s="32" t="str">
        <x:v>Conciliacion no cerrada</x:v>
      </x:c>
    </x:row>
    <x:row r="28">
      <x:c r="A28" s="27" t="str">
        <x:v>TRX-027</x:v>
      </x:c>
      <x:c r="B28" s="28" t="n">
        <x:v>46107</x:v>
      </x:c>
      <x:c r="C28" s="28" t="n">
        <x:v>46107</x:v>
      </x:c>
      <x:c r="D28" s="29" t="str">
        <x:v>EMP-001</x:v>
      </x:c>
      <x:c r="E28" s="29" t="str">
        <x:v>Nova Retail S.A.S.</x:v>
      </x:c>
      <x:c r="F28" s="29" t="str">
        <x:v>1001-884422</x:v>
      </x:c>
      <x:c r="G28" s="29" t="str">
        <x:v>Banco Nacional</x:v>
      </x:c>
      <x:c r="H28" s="29" t="str">
        <x:v>Egreso</x:v>
      </x:c>
      <x:c r="I28" s="29" t="str">
        <x:v>Servicios publicos</x:v>
      </x:c>
      <x:c r="J28" s="29" t="str">
        <x:v>Arrendadora Centro</x:v>
      </x:c>
      <x:c r="K28" s="29" t="str">
        <x:v>PAG-20260027</x:v>
      </x:c>
      <x:c r="L28" s="29" t="str">
        <x:v>COP</x:v>
      </x:c>
      <x:c r="M28" s="30" t="n">
        <x:v>-2027191</x:v>
      </x:c>
      <x:c r="N28" s="30" t="n">
        <x:v>-385166.29</x:v>
      </x:c>
      <x:c r="O28" s="30" t="n">
        <x:v>-2412357.29</x:v>
      </x:c>
      <x:c r="P28" s="29" t="str">
        <x:v>Tarjeta credito</x:v>
      </x:c>
      <x:c r="Q28" s="29" t="str">
        <x:v>Tecnologia</x:v>
      </x:c>
      <x:c r="R28" s="29" t="str">
        <x:v>Cali</x:v>
      </x:c>
      <x:c r="S28" s="29" t="str">
        <x:v>Colombia</x:v>
      </x:c>
      <x:c r="T28" s="29" t="str">
        <x:v>Diana Torres</x:v>
      </x:c>
      <x:c r="U28" s="29" t="str">
        <x:v>Conciliado</x:v>
      </x:c>
      <x:c r="V28" s="28" t="n">
        <x:v>46095</x:v>
      </x:c>
      <x:c r="W28" s="31" t="n">
        <x:v>0</x:v>
      </x:c>
      <x:c r="X28" s="29" t="str">
        <x:v>Bajo</x:v>
      </x:c>
      <x:c r="Y28" s="29" t="str">
        <x:v>Tarjeta</x:v>
      </x:c>
      <x:c r="Z28" s="29" t="str"/>
      <x:c r="AA28" s="29" t="str">
        <x:v>No</x:v>
      </x:c>
      <x:c r="AB28" s="32" t="str"/>
    </x:row>
    <x:row r="29">
      <x:c r="A29" s="27" t="str">
        <x:v>TRX-028</x:v>
      </x:c>
      <x:c r="B29" s="28" t="n">
        <x:v>46110</x:v>
      </x:c>
      <x:c r="C29" s="28" t="n">
        <x:v>46111</x:v>
      </x:c>
      <x:c r="D29" s="29" t="str">
        <x:v>EMP-003</x:v>
      </x:c>
      <x:c r="E29" s="29" t="str">
        <x:v>Insumos Horizonte S.A.</x:v>
      </x:c>
      <x:c r="F29" s="29" t="str">
        <x:v>1003-902244</x:v>
      </x:c>
      <x:c r="G29" s="29" t="str">
        <x:v>Banco Andino</x:v>
      </x:c>
      <x:c r="H29" s="29" t="str">
        <x:v>Ingreso</x:v>
      </x:c>
      <x:c r="I29" s="29" t="str">
        <x:v>Venta internacional</x:v>
      </x:c>
      <x:c r="J29" s="29" t="str">
        <x:v>Financiera Sur</x:v>
      </x:c>
      <x:c r="K29" s="29" t="str">
        <x:v>FAC-20260028</x:v>
      </x:c>
      <x:c r="L29" s="29" t="str">
        <x:v>COP</x:v>
      </x:c>
      <x:c r="M29" s="30" t="n">
        <x:v>2099124</x:v>
      </x:c>
      <x:c r="N29" s="30" t="n">
        <x:v>0</x:v>
      </x:c>
      <x:c r="O29" s="30" t="n">
        <x:v>2099124</x:v>
      </x:c>
      <x:c r="P29" s="29" t="str">
        <x:v>Cheque</x:v>
      </x:c>
      <x:c r="Q29" s="29" t="str">
        <x:v>Finanzas</x:v>
      </x:c>
      <x:c r="R29" s="29" t="str">
        <x:v>Barranquilla</x:v>
      </x:c>
      <x:c r="S29" s="29" t="str">
        <x:v>Colombia</x:v>
      </x:c>
      <x:c r="T29" s="29" t="str">
        <x:v>Felipe Mora</x:v>
      </x:c>
      <x:c r="U29" s="29" t="str">
        <x:v>Pendiente</x:v>
      </x:c>
      <x:c r="V29" s="28" t="n">
        <x:v>46103</x:v>
      </x:c>
      <x:c r="W29" s="31" t="n">
        <x:v>102</x:v>
      </x:c>
      <x:c r="X29" s="29" t="str">
        <x:v>Medio</x:v>
      </x:c>
      <x:c r="Y29" s="29" t="str">
        <x:v>Debito automatico</x:v>
      </x:c>
      <x:c r="Z29" s="29" t="str"/>
      <x:c r="AA29" s="29" t="str">
        <x:v>Si</x:v>
      </x:c>
      <x:c r="AB29" s="32" t="str">
        <x:v>Conciliacion no cerrada</x:v>
      </x:c>
    </x:row>
    <x:row r="30">
      <x:c r="A30" s="27" t="str">
        <x:v>TRX-029</x:v>
      </x:c>
      <x:c r="B30" s="28" t="n">
        <x:v>46113</x:v>
      </x:c>
      <x:c r="C30" s="28" t="n">
        <x:v>46113</x:v>
      </x:c>
      <x:c r="D30" s="29" t="str">
        <x:v>EMP-001</x:v>
      </x:c>
      <x:c r="E30" s="29" t="str">
        <x:v>Nova Retail S.A.S.</x:v>
      </x:c>
      <x:c r="F30" s="29" t="str">
        <x:v>1001-884422</x:v>
      </x:c>
      <x:c r="G30" s="29" t="str">
        <x:v>Banco Capital</x:v>
      </x:c>
      <x:c r="H30" s="29" t="str">
        <x:v>Egreso</x:v>
      </x:c>
      <x:c r="I30" s="29" t="str">
        <x:v>Reembolso</x:v>
      </x:c>
      <x:c r="J30" s="29" t="str">
        <x:v>Cliente Express</x:v>
      </x:c>
      <x:c r="K30" s="29" t="str">
        <x:v>PAG-20260029</x:v>
      </x:c>
      <x:c r="L30" s="29" t="str">
        <x:v>COP</x:v>
      </x:c>
      <x:c r="M30" s="30" t="n">
        <x:v>-2171057</x:v>
      </x:c>
      <x:c r="N30" s="30" t="n">
        <x:v>0</x:v>
      </x:c>
      <x:c r="O30" s="30" t="n">
        <x:v>-2171057</x:v>
      </x:c>
      <x:c r="P30" s="29" t="str">
        <x:v>Debito automatico</x:v>
      </x:c>
      <x:c r="Q30" s="29" t="str"/>
      <x:c r="R30" s="29" t="str">
        <x:v>Cartagena</x:v>
      </x:c>
      <x:c r="S30" s="29" t="str">
        <x:v>Colombia</x:v>
      </x:c>
      <x:c r="T30" s="29" t="str"/>
      <x:c r="U30" s="29" t="str">
        <x:v>Conciliado</x:v>
      </x:c>
      <x:c r="V30" s="28" t="n">
        <x:v>46111</x:v>
      </x:c>
      <x:c r="W30" s="31" t="n">
        <x:v>0</x:v>
      </x:c>
      <x:c r="X30" s="29" t="str">
        <x:v>Bajo</x:v>
      </x:c>
      <x:c r="Y30" s="29" t="str">
        <x:v>Caja</x:v>
      </x:c>
      <x:c r="Z30" s="29" t="str"/>
      <x:c r="AA30" s="29" t="str">
        <x:v>Si</x:v>
      </x:c>
      <x:c r="AB30" s="32" t="str">
        <x:v>Responsable vacio</x:v>
      </x:c>
    </x:row>
    <x:row r="31">
      <x:c r="A31" s="27" t="str">
        <x:v>TRX-030</x:v>
      </x:c>
      <x:c r="B31" s="28" t="n">
        <x:v>46116</x:v>
      </x:c>
      <x:c r="C31" s="28" t="n">
        <x:v>46119</x:v>
      </x:c>
      <x:c r="D31" s="29" t="str">
        <x:v>EMP-002</x:v>
      </x:c>
      <x:c r="E31" s="29" t="str">
        <x:v>Logistica Prisma Ltda.</x:v>
      </x:c>
      <x:c r="F31" s="29" t="str">
        <x:v>1002-553311</x:v>
      </x:c>
      <x:c r="G31" s="29" t="str">
        <x:v>Banco Pacifico</x:v>
      </x:c>
      <x:c r="H31" s="29" t="str">
        <x:v>Ingreso</x:v>
      </x:c>
      <x:c r="I31" s="29" t="str">
        <x:v>Venta nacional</x:v>
      </x:c>
      <x:c r="J31" s="29" t="str"/>
      <x:c r="K31" s="29" t="str">
        <x:v>FAC-20260030</x:v>
      </x:c>
      <x:c r="L31" s="29" t="str">
        <x:v>COP</x:v>
      </x:c>
      <x:c r="M31" s="30" t="n">
        <x:v>2242990</x:v>
      </x:c>
      <x:c r="N31" s="30" t="n">
        <x:v>426168.1</x:v>
      </x:c>
      <x:c r="O31" s="30" t="n">
        <x:v>2669158.1</x:v>
      </x:c>
      <x:c r="P31" s="29" t="str">
        <x:v>ACH</x:v>
      </x:c>
      <x:c r="Q31" s="29" t="str">
        <x:v>Administracion</x:v>
      </x:c>
      <x:c r="R31" s="29" t="str">
        <x:v>Bogota</x:v>
      </x:c>
      <x:c r="S31" s="29" t="str">
        <x:v>Colombia</x:v>
      </x:c>
      <x:c r="T31" s="29" t="str">
        <x:v>Ana Ruiz</x:v>
      </x:c>
      <x:c r="U31" s="29" t="str">
        <x:v>Conciliado</x:v>
      </x:c>
      <x:c r="V31" s="28" t="n">
        <x:v>46119</x:v>
      </x:c>
      <x:c r="W31" s="31" t="n">
        <x:v>0</x:v>
      </x:c>
      <x:c r="X31" s="29" t="str">
        <x:v>Bajo</x:v>
      </x:c>
      <x:c r="Y31" s="29" t="str">
        <x:v>Portal bancario</x:v>
      </x:c>
      <x:c r="Z31" s="29" t="str"/>
      <x:c r="AA31" s="29" t="str">
        <x:v>No</x:v>
      </x:c>
      <x:c r="AB31" s="32" t="str"/>
    </x:row>
    <x:row r="32">
      <x:c r="A32" s="27" t="str">
        <x:v>TRX-031</x:v>
      </x:c>
      <x:c r="B32" s="28" t="n">
        <x:v>46119</x:v>
      </x:c>
      <x:c r="C32" s="28" t="n">
        <x:v>46119</x:v>
      </x:c>
      <x:c r="D32" s="29" t="str">
        <x:v>EMP-003</x:v>
      </x:c>
      <x:c r="E32" s="29" t="str">
        <x:v>Insumos Horizonte S.A.</x:v>
      </x:c>
      <x:c r="F32" s="29" t="str">
        <x:v>1003-902244</x:v>
      </x:c>
      <x:c r="G32" s="29" t="str">
        <x:v>Banco Nacional</x:v>
      </x:c>
      <x:c r="H32" s="29" t="str">
        <x:v>Egreso</x:v>
      </x:c>
      <x:c r="I32" s="29" t="str">
        <x:v>Credito bancario</x:v>
      </x:c>
      <x:c r="J32" s="29" t="str">
        <x:v>Cliente Norte S.A.</x:v>
      </x:c>
      <x:c r="K32" s="29" t="str">
        <x:v>PAG-20260031</x:v>
      </x:c>
      <x:c r="L32" s="29" t="str">
        <x:v>COP</x:v>
      </x:c>
      <x:c r="M32" s="30" t="n">
        <x:v>-2314923</x:v>
      </x:c>
      <x:c r="N32" s="30" t="n">
        <x:v>0</x:v>
      </x:c>
      <x:c r="O32" s="30" t="n">
        <x:v>-2314923</x:v>
      </x:c>
      <x:c r="P32" s="29" t="str">
        <x:v>Transferencia local</x:v>
      </x:c>
      <x:c r="Q32" s="29" t="str"/>
      <x:c r="R32" s="29" t="str">
        <x:v>Medellin</x:v>
      </x:c>
      <x:c r="S32" s="29" t="str">
        <x:v>Colombia</x:v>
      </x:c>
      <x:c r="T32" s="29" t="str">
        <x:v>Carlos Pena</x:v>
      </x:c>
      <x:c r="U32" s="29" t="str">
        <x:v>Conciliado</x:v>
      </x:c>
      <x:c r="V32" s="28" t="n">
        <x:v>46127</x:v>
      </x:c>
      <x:c r="W32" s="31" t="n">
        <x:v>0</x:v>
      </x:c>
      <x:c r="X32" s="29" t="str">
        <x:v>Bajo</x:v>
      </x:c>
      <x:c r="Y32" s="29" t="str">
        <x:v>PSE</x:v>
      </x:c>
      <x:c r="Z32" s="29" t="str"/>
      <x:c r="AA32" s="29" t="str">
        <x:v>Si</x:v>
      </x:c>
      <x:c r="AB32" s="32" t="str">
        <x:v>Centro de costo vacio</x:v>
      </x:c>
    </x:row>
    <x:row r="33">
      <x:c r="A33" s="27" t="str">
        <x:v>TRX-032</x:v>
      </x:c>
      <x:c r="B33" s="28" t="n">
        <x:v>46122</x:v>
      </x:c>
      <x:c r="C33" s="28" t="n">
        <x:v>46123</x:v>
      </x:c>
      <x:c r="D33" s="29" t="str">
        <x:v>EMP-001</x:v>
      </x:c>
      <x:c r="E33" s="29" t="str">
        <x:v>Nova Retail S.A.S.</x:v>
      </x:c>
      <x:c r="F33" s="29" t="str">
        <x:v>1001-884422</x:v>
      </x:c>
      <x:c r="G33" s="29" t="str">
        <x:v>Banco Andino</x:v>
      </x:c>
      <x:c r="H33" s="29" t="str">
        <x:v>Egreso</x:v>
      </x:c>
      <x:c r="I33" s="29" t="str">
        <x:v>Pago proveedor</x:v>
      </x:c>
      <x:c r="J33" s="29" t="str">
        <x:v>Distribuidora Delta</x:v>
      </x:c>
      <x:c r="K33" s="29" t="str">
        <x:v>PAG-20260032</x:v>
      </x:c>
      <x:c r="L33" s="29" t="str">
        <x:v>COP</x:v>
      </x:c>
      <x:c r="M33" s="30" t="n">
        <x:v>-2386856</x:v>
      </x:c>
      <x:c r="N33" s="30" t="n">
        <x:v>-453502.64</x:v>
      </x:c>
      <x:c r="O33" s="30" t="n">
        <x:v>-2840358.64</x:v>
      </x:c>
      <x:c r="P33" s="29" t="str">
        <x:v>Tarjeta credito</x:v>
      </x:c>
      <x:c r="Q33" s="29" t="str">
        <x:v>Operaciones</x:v>
      </x:c>
      <x:c r="R33" s="29" t="str">
        <x:v>Cali</x:v>
      </x:c>
      <x:c r="S33" s="29" t="str">
        <x:v>Colombia</x:v>
      </x:c>
      <x:c r="T33" s="29" t="str">
        <x:v>Diana Torres</x:v>
      </x:c>
      <x:c r="U33" s="29" t="str">
        <x:v>Pendiente</x:v>
      </x:c>
      <x:c r="V33" s="28" t="n">
        <x:v>46135</x:v>
      </x:c>
      <x:c r="W33" s="31" t="n">
        <x:v>70</x:v>
      </x:c>
      <x:c r="X33" s="29" t="str">
        <x:v>Medio</x:v>
      </x:c>
      <x:c r="Y33" s="29" t="str">
        <x:v>Transferencia</x:v>
      </x:c>
      <x:c r="Z33" s="29" t="str"/>
      <x:c r="AA33" s="29" t="str">
        <x:v>Si</x:v>
      </x:c>
      <x:c r="AB33" s="32" t="str">
        <x:v>Conciliacion no cerrada</x:v>
      </x:c>
    </x:row>
    <x:row r="34">
      <x:c r="A34" s="27" t="str">
        <x:v>TRX-033</x:v>
      </x:c>
      <x:c r="B34" s="28" t="n">
        <x:v>46125</x:v>
      </x:c>
      <x:c r="C34" s="28" t="n">
        <x:v>46125</x:v>
      </x:c>
      <x:c r="D34" s="29" t="str">
        <x:v>EMP-002</x:v>
      </x:c>
      <x:c r="E34" s="29" t="str">
        <x:v>Logistica Prisma Ltda.</x:v>
      </x:c>
      <x:c r="F34" s="29" t="str">
        <x:v>1002-553311</x:v>
      </x:c>
      <x:c r="G34" s="29" t="str">
        <x:v>Banco Capital</x:v>
      </x:c>
      <x:c r="H34" s="29" t="str">
        <x:v>Ingreso</x:v>
      </x:c>
      <x:c r="I34" s="29" t="str">
        <x:v>Venta nacional</x:v>
      </x:c>
      <x:c r="J34" s="29" t="str">
        <x:v>Proveedor Alfa</x:v>
      </x:c>
      <x:c r="K34" s="29" t="str">
        <x:v>FAC-20260033</x:v>
      </x:c>
      <x:c r="L34" s="29" t="str">
        <x:v>COP</x:v>
      </x:c>
      <x:c r="M34" s="30" t="n">
        <x:v>2458789</x:v>
      </x:c>
      <x:c r="N34" s="30" t="n">
        <x:v>467169.91</x:v>
      </x:c>
      <x:c r="O34" s="30" t="n">
        <x:v>2925958.91</x:v>
      </x:c>
      <x:c r="P34" s="29" t="str">
        <x:v>Cheque</x:v>
      </x:c>
      <x:c r="Q34" s="29" t="str">
        <x:v>Tecnologia</x:v>
      </x:c>
      <x:c r="R34" s="29" t="str">
        <x:v>Barranquilla</x:v>
      </x:c>
      <x:c r="S34" s="29" t="str">
        <x:v>Colombia</x:v>
      </x:c>
      <x:c r="T34" s="29" t="str">
        <x:v>Felipe Mora</x:v>
      </x:c>
      <x:c r="U34" s="29" t="str">
        <x:v>Conciliado</x:v>
      </x:c>
      <x:c r="V34" s="28" t="n">
        <x:v>46143</x:v>
      </x:c>
      <x:c r="W34" s="31" t="n">
        <x:v>0</x:v>
      </x:c>
      <x:c r="X34" s="29" t="str">
        <x:v>Bajo</x:v>
      </x:c>
      <x:c r="Y34" s="29" t="str">
        <x:v>Tarjeta</x:v>
      </x:c>
      <x:c r="Z34" s="29" t="str"/>
      <x:c r="AA34" s="29" t="str">
        <x:v>No</x:v>
      </x:c>
      <x:c r="AB34" s="32" t="str"/>
    </x:row>
    <x:row r="35">
      <x:c r="A35" s="27" t="str">
        <x:v>TRX-034</x:v>
      </x:c>
      <x:c r="B35" s="28" t="n">
        <x:v>46128</x:v>
      </x:c>
      <x:c r="C35" s="28" t="n">
        <x:v>46128</x:v>
      </x:c>
      <x:c r="D35" s="29" t="str">
        <x:v>EMP-003</x:v>
      </x:c>
      <x:c r="E35" s="29" t="str">
        <x:v>Insumos Horizonte S.A.</x:v>
      </x:c>
      <x:c r="F35" s="29" t="str">
        <x:v>1003-902244</x:v>
      </x:c>
      <x:c r="G35" s="29" t="str">
        <x:v>Banco Pacifico</x:v>
      </x:c>
      <x:c r="H35" s="29" t="str">
        <x:v>Egreso</x:v>
      </x:c>
      <x:c r="I35" s="29" t="str">
        <x:v>Impuestos</x:v>
      </x:c>
      <x:c r="J35" s="29" t="str">
        <x:v>Servicios Beta</x:v>
      </x:c>
      <x:c r="K35" s="29" t="str">
        <x:v>PAG-20260034</x:v>
      </x:c>
      <x:c r="L35" s="29" t="str">
        <x:v>COP</x:v>
      </x:c>
      <x:c r="M35" s="30" t="n">
        <x:v>-2530722</x:v>
      </x:c>
      <x:c r="N35" s="30" t="n">
        <x:v>0</x:v>
      </x:c>
      <x:c r="O35" s="30" t="n">
        <x:v>-2530722</x:v>
      </x:c>
      <x:c r="P35" s="29" t="str">
        <x:v>Debito automatico</x:v>
      </x:c>
      <x:c r="Q35" s="29" t="str">
        <x:v>Finanzas</x:v>
      </x:c>
      <x:c r="R35" s="29" t="str">
        <x:v>Cartagena</x:v>
      </x:c>
      <x:c r="S35" s="29" t="str">
        <x:v>Colombia</x:v>
      </x:c>
      <x:c r="T35" s="29" t="str"/>
      <x:c r="U35" s="29" t="str">
        <x:v>Conciliado</x:v>
      </x:c>
      <x:c r="V35" s="28" t="n">
        <x:v>46151</x:v>
      </x:c>
      <x:c r="W35" s="31" t="n">
        <x:v>0</x:v>
      </x:c>
      <x:c r="X35" s="29" t="str">
        <x:v>Bajo</x:v>
      </x:c>
      <x:c r="Y35" s="29" t="str">
        <x:v>Debito automatico</x:v>
      </x:c>
      <x:c r="Z35" s="29" t="str">
        <x:v>Valor reportado por banco no coincide con ERP</x:v>
      </x:c>
      <x:c r="AA35" s="29" t="str">
        <x:v>No</x:v>
      </x:c>
      <x:c r="AB35" s="32" t="str"/>
    </x:row>
    <x:row r="36">
      <x:c r="A36" s="27" t="str">
        <x:v>TRX-035</x:v>
      </x:c>
      <x:c r="B36" s="28" t="n">
        <x:v>46131</x:v>
      </x:c>
      <x:c r="C36" s="28" t="n">
        <x:v>46131</x:v>
      </x:c>
      <x:c r="D36" s="29" t="str">
        <x:v>EMP-002</x:v>
      </x:c>
      <x:c r="E36" s="29" t="str">
        <x:v>Logistica Prisma Ltda.</x:v>
      </x:c>
      <x:c r="F36" s="29" t="str">
        <x:v>1002-553311</x:v>
      </x:c>
      <x:c r="G36" s="29" t="str">
        <x:v>Banco Nacional</x:v>
      </x:c>
      <x:c r="H36" s="29" t="str">
        <x:v>Ingreso</x:v>
      </x:c>
      <x:c r="I36" s="29" t="str">
        <x:v>Credito bancario</x:v>
      </x:c>
      <x:c r="J36" s="29" t="str">
        <x:v>Aduanas Global</x:v>
      </x:c>
      <x:c r="K36" s="29" t="str">
        <x:v>FAC-20260035</x:v>
      </x:c>
      <x:c r="L36" s="29" t="str">
        <x:v>COP</x:v>
      </x:c>
      <x:c r="M36" s="30" t="n">
        <x:v>2602655</x:v>
      </x:c>
      <x:c r="N36" s="30" t="n">
        <x:v>0</x:v>
      </x:c>
      <x:c r="O36" s="30" t="n">
        <x:v>2602655</x:v>
      </x:c>
      <x:c r="P36" s="29" t="str">
        <x:v>ACH</x:v>
      </x:c>
      <x:c r="Q36" s="29" t="str"/>
      <x:c r="R36" s="29" t="str">
        <x:v>Bogota</x:v>
      </x:c>
      <x:c r="S36" s="29" t="str">
        <x:v>Colombia</x:v>
      </x:c>
      <x:c r="T36" s="29" t="str">
        <x:v>Ana Ruiz</x:v>
      </x:c>
      <x:c r="U36" s="29" t="str">
        <x:v>Conciliado</x:v>
      </x:c>
      <x:c r="V36" s="28" t="n">
        <x:v>46159</x:v>
      </x:c>
      <x:c r="W36" s="31" t="n">
        <x:v>0</x:v>
      </x:c>
      <x:c r="X36" s="29" t="str">
        <x:v>Bajo</x:v>
      </x:c>
      <x:c r="Y36" s="29" t="str">
        <x:v>Caja</x:v>
      </x:c>
      <x:c r="Z36" s="29" t="str"/>
      <x:c r="AA36" s="29" t="str">
        <x:v>No</x:v>
      </x:c>
      <x:c r="AB36" s="32" t="str"/>
    </x:row>
    <x:row r="37">
      <x:c r="A37" s="27" t="str">
        <x:v>TRX-036</x:v>
      </x:c>
      <x:c r="B37" s="28" t="n">
        <x:v>46134</x:v>
      </x:c>
      <x:c r="C37" s="28" t="n">
        <x:v>46137</x:v>
      </x:c>
      <x:c r="D37" s="29" t="str">
        <x:v>EMP-003</x:v>
      </x:c>
      <x:c r="E37" s="29" t="str">
        <x:v>Insumos Horizonte S.A.</x:v>
      </x:c>
      <x:c r="F37" s="29" t="str">
        <x:v>1003-902244</x:v>
      </x:c>
      <x:c r="G37" s="29" t="str">
        <x:v>Banco Andino</x:v>
      </x:c>
      <x:c r="H37" s="29" t="str">
        <x:v>Egreso</x:v>
      </x:c>
      <x:c r="I37" s="29" t="str">
        <x:v>Arriendo</x:v>
      </x:c>
      <x:c r="J37" s="29" t="str">
        <x:v>Energia Urbana</x:v>
      </x:c>
      <x:c r="K37" s="29" t="str">
        <x:v>PAG-20260036</x:v>
      </x:c>
      <x:c r="L37" s="29" t="str">
        <x:v>COP</x:v>
      </x:c>
      <x:c r="M37" s="30" t="n">
        <x:v>-2674588</x:v>
      </x:c>
      <x:c r="N37" s="30" t="n">
        <x:v>-508171.72</x:v>
      </x:c>
      <x:c r="O37" s="30" t="n">
        <x:v>-3182759.72</x:v>
      </x:c>
      <x:c r="P37" s="29" t="str">
        <x:v>Transferencia local</x:v>
      </x:c>
      <x:c r="Q37" s="29" t="str">
        <x:v>Administracion</x:v>
      </x:c>
      <x:c r="R37" s="29" t="str">
        <x:v>Medellin</x:v>
      </x:c>
      <x:c r="S37" s="29" t="str">
        <x:v>Colombia</x:v>
      </x:c>
      <x:c r="T37" s="29" t="str">
        <x:v>Carlos Pena</x:v>
      </x:c>
      <x:c r="U37" s="29" t="str">
        <x:v>Pendiente</x:v>
      </x:c>
      <x:c r="V37" s="28" t="n">
        <x:v>46122</x:v>
      </x:c>
      <x:c r="W37" s="31" t="n">
        <x:v>83</x:v>
      </x:c>
      <x:c r="X37" s="29" t="str">
        <x:v>Medio</x:v>
      </x:c>
      <x:c r="Y37" s="29" t="str">
        <x:v>Portal bancario</x:v>
      </x:c>
      <x:c r="Z37" s="29" t="str"/>
      <x:c r="AA37" s="29" t="str">
        <x:v>Si</x:v>
      </x:c>
      <x:c r="AB37" s="32" t="str">
        <x:v>Conciliacion no cerrada</x:v>
      </x:c>
    </x:row>
    <x:row r="38">
      <x:c r="A38" s="27" t="str">
        <x:v>TRX-037</x:v>
      </x:c>
      <x:c r="B38" s="28" t="n">
        <x:v>46137</x:v>
      </x:c>
      <x:c r="C38" s="28" t="n">
        <x:v>46137</x:v>
      </x:c>
      <x:c r="D38" s="29" t="str">
        <x:v>EMP-001</x:v>
      </x:c>
      <x:c r="E38" s="29" t="str">
        <x:v>Nova Retail S.A.S.</x:v>
      </x:c>
      <x:c r="F38" s="29" t="str">
        <x:v>1001-884422</x:v>
      </x:c>
      <x:c r="G38" s="29" t="str">
        <x:v>Banco Capital</x:v>
      </x:c>
      <x:c r="H38" s="29" t="str">
        <x:v>Egreso</x:v>
      </x:c>
      <x:c r="I38" s="29" t="str">
        <x:v>Reembolso</x:v>
      </x:c>
      <x:c r="J38" s="29" t="str">
        <x:v>Talento Humano</x:v>
      </x:c>
      <x:c r="K38" s="29" t="str">
        <x:v>PAG-20260037</x:v>
      </x:c>
      <x:c r="L38" s="29" t="str">
        <x:v>COP</x:v>
      </x:c>
      <x:c r="M38" s="30" t="n">
        <x:v>-2746521</x:v>
      </x:c>
      <x:c r="N38" s="30" t="n">
        <x:v>0</x:v>
      </x:c>
      <x:c r="O38" s="30" t="n">
        <x:v>-2746521</x:v>
      </x:c>
      <x:c r="P38" s="29" t="str">
        <x:v>Tarjeta credito</x:v>
      </x:c>
      <x:c r="Q38" s="29" t="str">
        <x:v>Comercial</x:v>
      </x:c>
      <x:c r="R38" s="29" t="str">
        <x:v>Cali</x:v>
      </x:c>
      <x:c r="S38" s="29" t="str">
        <x:v>Colombia</x:v>
      </x:c>
      <x:c r="T38" s="29" t="str">
        <x:v>Diana Torres</x:v>
      </x:c>
      <x:c r="U38" s="29" t="str">
        <x:v>Duplicado</x:v>
      </x:c>
      <x:c r="V38" s="28" t="n">
        <x:v>46130</x:v>
      </x:c>
      <x:c r="W38" s="31" t="n">
        <x:v>75</x:v>
      </x:c>
      <x:c r="X38" s="29" t="str">
        <x:v>Medio</x:v>
      </x:c>
      <x:c r="Y38" s="29" t="str">
        <x:v>PSE</x:v>
      </x:c>
      <x:c r="Z38" s="29" t="str"/>
      <x:c r="AA38" s="29" t="str">
        <x:v>Si</x:v>
      </x:c>
      <x:c r="AB38" s="32" t="str">
        <x:v>Conciliacion no cerrada</x:v>
      </x:c>
    </x:row>
    <x:row r="39">
      <x:c r="A39" s="27" t="str">
        <x:v>TRX-00037</x:v>
      </x:c>
      <x:c r="B39" s="28" t="n">
        <x:v>46140</x:v>
      </x:c>
      <x:c r="C39" s="28" t="n">
        <x:v>46140</x:v>
      </x:c>
      <x:c r="D39" s="29" t="str">
        <x:v>EMP-002</x:v>
      </x:c>
      <x:c r="E39" s="29" t="str">
        <x:v>Logistica Prisma Ltda.</x:v>
      </x:c>
      <x:c r="F39" s="29" t="str">
        <x:v>1002-553311</x:v>
      </x:c>
      <x:c r="G39" s="29" t="str">
        <x:v>Banco Pacifico</x:v>
      </x:c>
      <x:c r="H39" s="29" t="str">
        <x:v>Egreso</x:v>
      </x:c>
      <x:c r="I39" s="29" t="str">
        <x:v>Comision bancaria</x:v>
      </x:c>
      <x:c r="J39" s="29" t="str">
        <x:v>Arrendadora Centro</x:v>
      </x:c>
      <x:c r="K39" s="29" t="str">
        <x:v>PAG-20260038</x:v>
      </x:c>
      <x:c r="L39" s="29" t="str">
        <x:v>COP</x:v>
      </x:c>
      <x:c r="M39" s="30" t="n">
        <x:v>-2818454</x:v>
      </x:c>
      <x:c r="N39" s="30" t="n">
        <x:v>0</x:v>
      </x:c>
      <x:c r="O39" s="30" t="n">
        <x:v>-2818454</x:v>
      </x:c>
      <x:c r="P39" s="29" t="str">
        <x:v>Cheque</x:v>
      </x:c>
      <x:c r="Q39" s="29" t="str">
        <x:v>Operaciones</x:v>
      </x:c>
      <x:c r="R39" s="29" t="str">
        <x:v>Barranquilla</x:v>
      </x:c>
      <x:c r="S39" s="29" t="str">
        <x:v>Colombia</x:v>
      </x:c>
      <x:c r="T39" s="29" t="str">
        <x:v>Felipe Mora</x:v>
      </x:c>
      <x:c r="U39" s="29" t="str">
        <x:v>Rechazado</x:v>
      </x:c>
      <x:c r="V39" s="28" t="n">
        <x:v>46138</x:v>
      </x:c>
      <x:c r="W39" s="31" t="n">
        <x:v>67</x:v>
      </x:c>
      <x:c r="X39" s="29" t="str">
        <x:v>Medio</x:v>
      </x:c>
      <x:c r="Y39" s="29" t="str">
        <x:v>Transferencia</x:v>
      </x:c>
      <x:c r="Z39" s="29" t="str"/>
      <x:c r="AA39" s="29" t="str">
        <x:v>Si</x:v>
      </x:c>
      <x:c r="AB39" s="32" t="str">
        <x:v>Conciliacion no cerrada</x:v>
      </x:c>
    </x:row>
    <x:row r="40">
      <x:c r="A40" s="27" t="str">
        <x:v>TRX-039</x:v>
      </x:c>
      <x:c r="B40" s="28" t="n">
        <x:v>46143</x:v>
      </x:c>
      <x:c r="C40" s="28" t="n">
        <x:v>46143</x:v>
      </x:c>
      <x:c r="D40" s="29" t="str">
        <x:v>EMP-003</x:v>
      </x:c>
      <x:c r="E40" s="29" t="str">
        <x:v>Insumos Horizonte S.A.</x:v>
      </x:c>
      <x:c r="F40" s="29" t="str">
        <x:v>1003-902244</x:v>
      </x:c>
      <x:c r="G40" s="29" t="str">
        <x:v>Banco Nacional</x:v>
      </x:c>
      <x:c r="H40" s="29" t="str">
        <x:v>Egreso</x:v>
      </x:c>
      <x:c r="I40" s="29" t="str">
        <x:v>Credito bancario</x:v>
      </x:c>
      <x:c r="J40" s="29" t="str">
        <x:v>Financiera Sur</x:v>
      </x:c>
      <x:c r="K40" s="29" t="str">
        <x:v>PAG-20260039</x:v>
      </x:c>
      <x:c r="L40" s="29" t="str">
        <x:v>COP</x:v>
      </x:c>
      <x:c r="M40" s="30" t="n">
        <x:v>-2890387</x:v>
      </x:c>
      <x:c r="N40" s="30" t="n">
        <x:v>0</x:v>
      </x:c>
      <x:c r="O40" s="30" t="n">
        <x:v>-2890387</x:v>
      </x:c>
      <x:c r="P40" s="29" t="str">
        <x:v>Debito automatico</x:v>
      </x:c>
      <x:c r="Q40" s="29" t="str">
        <x:v>Tecnologia</x:v>
      </x:c>
      <x:c r="R40" s="29" t="str">
        <x:v>Cartagena</x:v>
      </x:c>
      <x:c r="S40" s="29" t="str">
        <x:v>Colombia</x:v>
      </x:c>
      <x:c r="T40" s="29" t="str"/>
      <x:c r="U40" s="29" t="str">
        <x:v>Diferencia</x:v>
      </x:c>
      <x:c r="V40" s="28" t="n">
        <x:v>46146</x:v>
      </x:c>
      <x:c r="W40" s="31" t="n">
        <x:v>59</x:v>
      </x:c>
      <x:c r="X40" s="29" t="str">
        <x:v>Medio</x:v>
      </x:c>
      <x:c r="Y40" s="29" t="str">
        <x:v>Tarjeta</x:v>
      </x:c>
      <x:c r="Z40" s="29" t="str"/>
      <x:c r="AA40" s="29" t="str">
        <x:v>Si</x:v>
      </x:c>
      <x:c r="AB40" s="32" t="str">
        <x:v>Conciliacion no cerrada</x:v>
      </x:c>
    </x:row>
    <x:row r="41">
      <x:c r="A41" s="27" t="str">
        <x:v>TRX-040</x:v>
      </x:c>
      <x:c r="B41" s="28" t="n">
        <x:v>46146</x:v>
      </x:c>
      <x:c r="C41" s="28" t="n">
        <x:v>46147</x:v>
      </x:c>
      <x:c r="D41" s="29" t="str">
        <x:v>EMP-001</x:v>
      </x:c>
      <x:c r="E41" s="29" t="str">
        <x:v>Nova Retail S.A.S.</x:v>
      </x:c>
      <x:c r="F41" s="29" t="str">
        <x:v>1001-884422</x:v>
      </x:c>
      <x:c r="G41" s="29" t="str">
        <x:v>Banco Andino</x:v>
      </x:c>
      <x:c r="H41" s="29" t="str">
        <x:v>Ingreso</x:v>
      </x:c>
      <x:c r="I41" s="29" t="str">
        <x:v>Venta internacional</x:v>
      </x:c>
      <x:c r="J41" s="29" t="str">
        <x:v>Cliente Express</x:v>
      </x:c>
      <x:c r="K41" s="29" t="str">
        <x:v>FAC-20260040</x:v>
      </x:c>
      <x:c r="L41" s="29" t="str">
        <x:v>COP</x:v>
      </x:c>
      <x:c r="M41" s="30" t="n">
        <x:v>2962320</x:v>
      </x:c>
      <x:c r="N41" s="30" t="n">
        <x:v>0</x:v>
      </x:c>
      <x:c r="O41" s="30" t="n">
        <x:v>2962320</x:v>
      </x:c>
      <x:c r="P41" s="29" t="str">
        <x:v>ACH</x:v>
      </x:c>
      <x:c r="Q41" s="29" t="str">
        <x:v>Finanzas</x:v>
      </x:c>
      <x:c r="R41" s="29" t="str">
        <x:v>Bogota</x:v>
      </x:c>
      <x:c r="S41" s="29" t="str">
        <x:v>Colombia</x:v>
      </x:c>
      <x:c r="T41" s="29" t="str">
        <x:v>Ana Ruiz</x:v>
      </x:c>
      <x:c r="U41" s="29" t="str">
        <x:v>Pendiente</x:v>
      </x:c>
      <x:c r="V41" s="28" t="n">
        <x:v>46154</x:v>
      </x:c>
      <x:c r="W41" s="31" t="n">
        <x:v>51</x:v>
      </x:c>
      <x:c r="X41" s="29" t="str">
        <x:v>Medio</x:v>
      </x:c>
      <x:c r="Y41" s="29" t="str">
        <x:v>Debito automatico</x:v>
      </x:c>
      <x:c r="Z41" s="29" t="str"/>
      <x:c r="AA41" s="29" t="str">
        <x:v>Si</x:v>
      </x:c>
      <x:c r="AB41" s="32" t="str">
        <x:v>Conciliacion no cerrada</x:v>
      </x:c>
    </x:row>
    <x:row r="42">
      <x:c r="A42" s="27" t="str">
        <x:v>TRX-041</x:v>
      </x:c>
      <x:c r="B42" s="28" t="n">
        <x:v>46149</x:v>
      </x:c>
      <x:c r="C42" s="28" t="n">
        <x:v>46149</x:v>
      </x:c>
      <x:c r="D42" s="29" t="str">
        <x:v>EMP-002</x:v>
      </x:c>
      <x:c r="E42" s="29" t="str">
        <x:v>Logistica Prisma Ltda.</x:v>
      </x:c>
      <x:c r="F42" s="29" t="str">
        <x:v>1002-553311</x:v>
      </x:c>
      <x:c r="G42" s="29" t="str">
        <x:v>Banco Capital</x:v>
      </x:c>
      <x:c r="H42" s="29" t="str">
        <x:v>Egreso</x:v>
      </x:c>
      <x:c r="I42" s="29" t="str">
        <x:v>Nomina</x:v>
      </x:c>
      <x:c r="J42" s="29" t="str"/>
      <x:c r="K42" s="29" t="str">
        <x:v>NOM-20260041</x:v>
      </x:c>
      <x:c r="L42" s="29" t="str">
        <x:v>USD</x:v>
      </x:c>
      <x:c r="M42" s="30" t="n">
        <x:v>-3034253</x:v>
      </x:c>
      <x:c r="N42" s="30" t="n">
        <x:v>0</x:v>
      </x:c>
      <x:c r="O42" s="30" t="n">
        <x:v>-3034253</x:v>
      </x:c>
      <x:c r="P42" s="29" t="str">
        <x:v>Transferencia local</x:v>
      </x:c>
      <x:c r="Q42" s="29" t="str"/>
      <x:c r="R42" s="29" t="str">
        <x:v>Medellin</x:v>
      </x:c>
      <x:c r="S42" s="29" t="str">
        <x:v>Colombia</x:v>
      </x:c>
      <x:c r="T42" s="29" t="str">
        <x:v>Carlos Pena</x:v>
      </x:c>
      <x:c r="U42" s="29" t="str">
        <x:v>Conciliado</x:v>
      </x:c>
      <x:c r="V42" s="28" t="n">
        <x:v>46162</x:v>
      </x:c>
      <x:c r="W42" s="31" t="n">
        <x:v>0</x:v>
      </x:c>
      <x:c r="X42" s="29" t="str">
        <x:v>Bajo</x:v>
      </x:c>
      <x:c r="Y42" s="29" t="str">
        <x:v>Caja</x:v>
      </x:c>
      <x:c r="Z42" s="29" t="str"/>
      <x:c r="AA42" s="29" t="str">
        <x:v>No</x:v>
      </x:c>
      <x:c r="AB42" s="32" t="str"/>
    </x:row>
    <x:row r="43">
      <x:c r="A43" s="27" t="str">
        <x:v>TRX-042</x:v>
      </x:c>
      <x:c r="B43" s="28" t="n">
        <x:v>46152</x:v>
      </x:c>
      <x:c r="C43" s="28" t="n">
        <x:v>46155</x:v>
      </x:c>
      <x:c r="D43" s="29" t="str">
        <x:v>EMP-001</x:v>
      </x:c>
      <x:c r="E43" s="29" t="str">
        <x:v>Nova Retail S.A.S.</x:v>
      </x:c>
      <x:c r="F43" s="29" t="str">
        <x:v>1001-884422</x:v>
      </x:c>
      <x:c r="G43" s="29" t="str">
        <x:v>Banco Pacifico</x:v>
      </x:c>
      <x:c r="H43" s="29" t="str">
        <x:v>Ingreso</x:v>
      </x:c>
      <x:c r="I43" s="29" t="str">
        <x:v>Venta nacional</x:v>
      </x:c>
      <x:c r="J43" s="29" t="str">
        <x:v>Cliente Norte S.A.</x:v>
      </x:c>
      <x:c r="K43" s="29" t="str">
        <x:v>FAC-20260042</x:v>
      </x:c>
      <x:c r="L43" s="29" t="str">
        <x:v>COP</x:v>
      </x:c>
      <x:c r="M43" s="30" t="n">
        <x:v>3106186</x:v>
      </x:c>
      <x:c r="N43" s="30" t="n">
        <x:v>590175.34</x:v>
      </x:c>
      <x:c r="O43" s="30" t="n">
        <x:v>3696361.34</x:v>
      </x:c>
      <x:c r="P43" s="29" t="str">
        <x:v>Tarjeta credito</x:v>
      </x:c>
      <x:c r="Q43" s="29" t="str">
        <x:v>Administracion</x:v>
      </x:c>
      <x:c r="R43" s="29" t="str">
        <x:v>Cali</x:v>
      </x:c>
      <x:c r="S43" s="29" t="str">
        <x:v>Colombia</x:v>
      </x:c>
      <x:c r="T43" s="29" t="str">
        <x:v>Diana Torres</x:v>
      </x:c>
      <x:c r="U43" s="29" t="str">
        <x:v>Conciliado</x:v>
      </x:c>
      <x:c r="V43" s="28" t="n">
        <x:v>46170</x:v>
      </x:c>
      <x:c r="W43" s="31" t="n">
        <x:v>0</x:v>
      </x:c>
      <x:c r="X43" s="29" t="str">
        <x:v>Bajo</x:v>
      </x:c>
      <x:c r="Y43" s="29" t="str">
        <x:v>Portal bancario</x:v>
      </x:c>
      <x:c r="Z43" s="29" t="str"/>
      <x:c r="AA43" s="29" t="str">
        <x:v>No</x:v>
      </x:c>
      <x:c r="AB43" s="32" t="str"/>
    </x:row>
    <x:row r="44">
      <x:c r="A44" s="27" t="str">
        <x:v>TRX-043</x:v>
      </x:c>
      <x:c r="B44" s="28" t="n">
        <x:v>46155</x:v>
      </x:c>
      <x:c r="C44" s="28" t="n">
        <x:v>46155</x:v>
      </x:c>
      <x:c r="D44" s="29" t="str">
        <x:v>EMP-002</x:v>
      </x:c>
      <x:c r="E44" s="29" t="str">
        <x:v>Logistica Prisma Ltda.</x:v>
      </x:c>
      <x:c r="F44" s="29" t="str">
        <x:v>1002-553311</x:v>
      </x:c>
      <x:c r="G44" s="29" t="str">
        <x:v>Banco Nacional</x:v>
      </x:c>
      <x:c r="H44" s="29" t="str">
        <x:v>Egreso</x:v>
      </x:c>
      <x:c r="I44" s="29" t="str">
        <x:v>Servicios publicos</x:v>
      </x:c>
      <x:c r="J44" s="29" t="str">
        <x:v>Distribuidora Delta</x:v>
      </x:c>
      <x:c r="K44" s="29" t="str">
        <x:v>PAG-20260043</x:v>
      </x:c>
      <x:c r="L44" s="29" t="str">
        <x:v>COP</x:v>
      </x:c>
      <x:c r="M44" s="30" t="n">
        <x:v>-3178119</x:v>
      </x:c>
      <x:c r="N44" s="30" t="n">
        <x:v>-603842.61</x:v>
      </x:c>
      <x:c r="O44" s="30" t="n">
        <x:v>-3781961.61</x:v>
      </x:c>
      <x:c r="P44" s="29" t="str">
        <x:v>Cheque</x:v>
      </x:c>
      <x:c r="Q44" s="29" t="str">
        <x:v>Comercial</x:v>
      </x:c>
      <x:c r="R44" s="29" t="str">
        <x:v>Barranquilla</x:v>
      </x:c>
      <x:c r="S44" s="29" t="str">
        <x:v>Colombia</x:v>
      </x:c>
      <x:c r="T44" s="29" t="str">
        <x:v>Felipe Mora</x:v>
      </x:c>
      <x:c r="U44" s="29" t="str">
        <x:v>Conciliado</x:v>
      </x:c>
      <x:c r="V44" s="28" t="n">
        <x:v>46178</x:v>
      </x:c>
      <x:c r="W44" s="31" t="n">
        <x:v>0</x:v>
      </x:c>
      <x:c r="X44" s="29" t="str">
        <x:v>Bajo</x:v>
      </x:c>
      <x:c r="Y44" s="29" t="str">
        <x:v>PSE</x:v>
      </x:c>
      <x:c r="Z44" s="29" t="str"/>
      <x:c r="AA44" s="29" t="str">
        <x:v>No</x:v>
      </x:c>
      <x:c r="AB44" s="32" t="str"/>
    </x:row>
    <x:row r="45">
      <x:c r="A45" s="27" t="str">
        <x:v>TRX-044</x:v>
      </x:c>
      <x:c r="B45" s="28" t="n">
        <x:v>46158</x:v>
      </x:c>
      <x:c r="C45" s="28" t="n">
        <x:v>46159</x:v>
      </x:c>
      <x:c r="D45" s="29" t="str">
        <x:v>EMP-003</x:v>
      </x:c>
      <x:c r="E45" s="29" t="str">
        <x:v>Insumos Horizonte S.A.</x:v>
      </x:c>
      <x:c r="F45" s="29" t="str">
        <x:v>1003-902244</x:v>
      </x:c>
      <x:c r="G45" s="29" t="str">
        <x:v>Banco Andino</x:v>
      </x:c>
      <x:c r="H45" s="29" t="str">
        <x:v>Ingreso</x:v>
      </x:c>
      <x:c r="I45" s="29" t="str">
        <x:v>Credito bancario</x:v>
      </x:c>
      <x:c r="J45" s="29" t="str">
        <x:v>Proveedor Alfa</x:v>
      </x:c>
      <x:c r="K45" s="29" t="str">
        <x:v>FAC-20260044</x:v>
      </x:c>
      <x:c r="L45" s="29" t="str">
        <x:v>COP</x:v>
      </x:c>
      <x:c r="M45" s="30" t="n">
        <x:v>3250052</x:v>
      </x:c>
      <x:c r="N45" s="30" t="n">
        <x:v>0</x:v>
      </x:c>
      <x:c r="O45" s="30" t="n">
        <x:v>3250052</x:v>
      </x:c>
      <x:c r="P45" s="29" t="str">
        <x:v>Debito automatico</x:v>
      </x:c>
      <x:c r="Q45" s="29" t="str">
        <x:v>Operaciones</x:v>
      </x:c>
      <x:c r="R45" s="29" t="str">
        <x:v>Cartagena</x:v>
      </x:c>
      <x:c r="S45" s="29" t="str">
        <x:v>Colombia</x:v>
      </x:c>
      <x:c r="T45" s="29" t="str"/>
      <x:c r="U45" s="29" t="str">
        <x:v>Pendiente</x:v>
      </x:c>
      <x:c r="V45" s="28" t="n">
        <x:v>46186</x:v>
      </x:c>
      <x:c r="W45" s="31" t="n">
        <x:v>19</x:v>
      </x:c>
      <x:c r="X45" s="29" t="str">
        <x:v>Bajo</x:v>
      </x:c>
      <x:c r="Y45" s="29" t="str">
        <x:v>Transferencia</x:v>
      </x:c>
      <x:c r="Z45" s="29" t="str"/>
      <x:c r="AA45" s="29" t="str">
        <x:v>Si</x:v>
      </x:c>
      <x:c r="AB45" s="32" t="str">
        <x:v>Conciliacion no cerrada</x:v>
      </x:c>
    </x:row>
    <x:row r="46">
      <x:c r="A46" s="27" t="str">
        <x:v>TRX-045</x:v>
      </x:c>
      <x:c r="B46" s="28" t="n">
        <x:v>46161</x:v>
      </x:c>
      <x:c r="C46" s="28" t="n">
        <x:v>46161</x:v>
      </x:c>
      <x:c r="D46" s="29" t="str">
        <x:v>EMP-001</x:v>
      </x:c>
      <x:c r="E46" s="29" t="str">
        <x:v>Nova Retail S.A.S.</x:v>
      </x:c>
      <x:c r="F46" s="29" t="str">
        <x:v>1001-884422</x:v>
      </x:c>
      <x:c r="G46" s="29" t="str">
        <x:v>Banco Capital</x:v>
      </x:c>
      <x:c r="H46" s="29" t="str">
        <x:v>Ingreso</x:v>
      </x:c>
      <x:c r="I46" s="29" t="str">
        <x:v>Venta nacional</x:v>
      </x:c>
      <x:c r="J46" s="29" t="str">
        <x:v>Servicios Beta</x:v>
      </x:c>
      <x:c r="K46" s="29" t="str">
        <x:v>FAC-20260045</x:v>
      </x:c>
      <x:c r="L46" s="29" t="str">
        <x:v>COP</x:v>
      </x:c>
      <x:c r="M46" s="30" t="n">
        <x:v>3321985</x:v>
      </x:c>
      <x:c r="N46" s="30" t="n">
        <x:v>631177.15</x:v>
      </x:c>
      <x:c r="O46" s="30" t="n">
        <x:v>3953162.15</x:v>
      </x:c>
      <x:c r="P46" s="29" t="str">
        <x:v>ACH</x:v>
      </x:c>
      <x:c r="Q46" s="29" t="str">
        <x:v>Tecnologia</x:v>
      </x:c>
      <x:c r="R46" s="29" t="str">
        <x:v>Bogota</x:v>
      </x:c>
      <x:c r="S46" s="29" t="str">
        <x:v>Colombia</x:v>
      </x:c>
      <x:c r="T46" s="29" t="str">
        <x:v>Ana Ruiz</x:v>
      </x:c>
      <x:c r="U46" s="29" t="str">
        <x:v>Conciliado</x:v>
      </x:c>
      <x:c r="V46" s="28" t="n">
        <x:v>46149</x:v>
      </x:c>
      <x:c r="W46" s="31" t="n">
        <x:v>0</x:v>
      </x:c>
      <x:c r="X46" s="29" t="str">
        <x:v>Bajo</x:v>
      </x:c>
      <x:c r="Y46" s="29" t="str">
        <x:v>Tarjeta</x:v>
      </x:c>
      <x:c r="Z46" s="29" t="str"/>
      <x:c r="AA46" s="29" t="str">
        <x:v>No</x:v>
      </x:c>
      <x:c r="AB46" s="32" t="str"/>
    </x:row>
    <x:row r="47">
      <x:c r="A47" s="27" t="str">
        <x:v>TRX-046</x:v>
      </x:c>
      <x:c r="B47" s="28" t="n">
        <x:v>46164</x:v>
      </x:c>
      <x:c r="C47" s="28" t="n">
        <x:v>46164</x:v>
      </x:c>
      <x:c r="D47" s="29" t="str">
        <x:v>EMP-002</x:v>
      </x:c>
      <x:c r="E47" s="29" t="str">
        <x:v>Logistica Prisma Ltda.</x:v>
      </x:c>
      <x:c r="F47" s="29" t="str">
        <x:v>1002-553311</x:v>
      </x:c>
      <x:c r="G47" s="29" t="str">
        <x:v>Banco Pacifico</x:v>
      </x:c>
      <x:c r="H47" s="29" t="str">
        <x:v>Egreso</x:v>
      </x:c>
      <x:c r="I47" s="29" t="str">
        <x:v>Comision bancaria</x:v>
      </x:c>
      <x:c r="J47" s="29" t="str">
        <x:v>Aduanas Global</x:v>
      </x:c>
      <x:c r="K47" s="29" t="str"/>
      <x:c r="L47" s="29" t="str">
        <x:v>COP</x:v>
      </x:c>
      <x:c r="M47" s="30" t="n">
        <x:v>-3393918</x:v>
      </x:c>
      <x:c r="N47" s="30" t="n">
        <x:v>0</x:v>
      </x:c>
      <x:c r="O47" s="30" t="n">
        <x:v>-3393918</x:v>
      </x:c>
      <x:c r="P47" s="29" t="str">
        <x:v>Transferencia local</x:v>
      </x:c>
      <x:c r="Q47" s="29" t="str">
        <x:v>Finanzas</x:v>
      </x:c>
      <x:c r="R47" s="29" t="str">
        <x:v>Medellin</x:v>
      </x:c>
      <x:c r="S47" s="29" t="str">
        <x:v>Colombia</x:v>
      </x:c>
      <x:c r="T47" s="29" t="str">
        <x:v>Carlos Pena</x:v>
      </x:c>
      <x:c r="U47" s="29" t="str">
        <x:v>Conciliado</x:v>
      </x:c>
      <x:c r="V47" s="28" t="n">
        <x:v>46157</x:v>
      </x:c>
      <x:c r="W47" s="31" t="n">
        <x:v>0</x:v>
      </x:c>
      <x:c r="X47" s="29" t="str">
        <x:v>Bajo</x:v>
      </x:c>
      <x:c r="Y47" s="29" t="str">
        <x:v>Debito automatico</x:v>
      </x:c>
      <x:c r="Z47" s="29" t="str">
        <x:v>Soporte pendiente</x:v>
      </x:c>
      <x:c r="AA47" s="29" t="str">
        <x:v>Si</x:v>
      </x:c>
      <x:c r="AB47" s="32" t="str">
        <x:v>Documento faltante</x:v>
      </x:c>
    </x:row>
    <x:row r="48">
      <x:c r="A48" s="27" t="str">
        <x:v>TRX-047</x:v>
      </x:c>
      <x:c r="B48" s="28" t="n">
        <x:v>46167</x:v>
      </x:c>
      <x:c r="C48" s="28" t="n">
        <x:v>46167</x:v>
      </x:c>
      <x:c r="D48" s="29" t="str">
        <x:v>EMP-003</x:v>
      </x:c>
      <x:c r="E48" s="29" t="str">
        <x:v>Insumos Horizonte S.A.</x:v>
      </x:c>
      <x:c r="F48" s="29" t="str">
        <x:v>1003-902244</x:v>
      </x:c>
      <x:c r="G48" s="29" t="str">
        <x:v>Banco Nacional</x:v>
      </x:c>
      <x:c r="H48" s="29" t="str">
        <x:v>Egreso</x:v>
      </x:c>
      <x:c r="I48" s="29" t="str">
        <x:v>Credito bancario</x:v>
      </x:c>
      <x:c r="J48" s="29" t="str">
        <x:v>Energia Urbana</x:v>
      </x:c>
      <x:c r="K48" s="29" t="str">
        <x:v>PAG-20260047</x:v>
      </x:c>
      <x:c r="L48" s="29" t="str">
        <x:v>COP</x:v>
      </x:c>
      <x:c r="M48" s="30" t="n">
        <x:v>-3465851</x:v>
      </x:c>
      <x:c r="N48" s="30" t="n">
        <x:v>0</x:v>
      </x:c>
      <x:c r="O48" s="30" t="n">
        <x:v>-3465851</x:v>
      </x:c>
      <x:c r="P48" s="29" t="str">
        <x:v>Tarjeta credito</x:v>
      </x:c>
      <x:c r="Q48" s="29" t="str"/>
      <x:c r="R48" s="29" t="str">
        <x:v>Cali</x:v>
      </x:c>
      <x:c r="S48" s="29" t="str">
        <x:v>Colombia</x:v>
      </x:c>
      <x:c r="T48" s="29" t="str">
        <x:v>Diana Torres</x:v>
      </x:c>
      <x:c r="U48" s="29" t="str">
        <x:v>Conciliado</x:v>
      </x:c>
      <x:c r="V48" s="28" t="n">
        <x:v>46165</x:v>
      </x:c>
      <x:c r="W48" s="31" t="n">
        <x:v>0</x:v>
      </x:c>
      <x:c r="X48" s="29" t="str">
        <x:v>Bajo</x:v>
      </x:c>
      <x:c r="Y48" s="29" t="str">
        <x:v>Caja</x:v>
      </x:c>
      <x:c r="Z48" s="29" t="str"/>
      <x:c r="AA48" s="29" t="str">
        <x:v>No</x:v>
      </x:c>
      <x:c r="AB48" s="32" t="str"/>
    </x:row>
    <x:row r="49">
      <x:c r="A49" s="27" t="str">
        <x:v>TRX-048</x:v>
      </x:c>
      <x:c r="B49" s="28" t="n">
        <x:v>46170</x:v>
      </x:c>
      <x:c r="C49" s="28" t="n">
        <x:v>46173</x:v>
      </x:c>
      <x:c r="D49" s="29" t="str">
        <x:v>EMP-001</x:v>
      </x:c>
      <x:c r="E49" s="29" t="str">
        <x:v>Nova Retail S.A.S.</x:v>
      </x:c>
      <x:c r="F49" s="29" t="str">
        <x:v>1001-884422</x:v>
      </x:c>
      <x:c r="G49" s="29" t="str">
        <x:v>Banco Andino</x:v>
      </x:c>
      <x:c r="H49" s="29" t="str">
        <x:v>Egreso</x:v>
      </x:c>
      <x:c r="I49" s="29" t="str">
        <x:v>Pago proveedor</x:v>
      </x:c>
      <x:c r="J49" s="29" t="str">
        <x:v>Talento Humano</x:v>
      </x:c>
      <x:c r="K49" s="29" t="str">
        <x:v>PAG-20260048</x:v>
      </x:c>
      <x:c r="L49" s="29" t="str">
        <x:v>COP</x:v>
      </x:c>
      <x:c r="M49" s="30" t="n">
        <x:v>-3537784</x:v>
      </x:c>
      <x:c r="N49" s="30" t="n">
        <x:v>-672178.96</x:v>
      </x:c>
      <x:c r="O49" s="30" t="n">
        <x:v>-4209962.96</x:v>
      </x:c>
      <x:c r="P49" s="29" t="str">
        <x:v>Cheque</x:v>
      </x:c>
      <x:c r="Q49" s="29" t="str">
        <x:v>Administracion</x:v>
      </x:c>
      <x:c r="R49" s="29" t="str">
        <x:v>Barranquilla</x:v>
      </x:c>
      <x:c r="S49" s="29" t="str">
        <x:v>Colombia</x:v>
      </x:c>
      <x:c r="T49" s="29" t="str">
        <x:v>Felipe Mora</x:v>
      </x:c>
      <x:c r="U49" s="29" t="str">
        <x:v>Pendiente</x:v>
      </x:c>
      <x:c r="V49" s="28" t="n">
        <x:v>46173</x:v>
      </x:c>
      <x:c r="W49" s="31" t="n">
        <x:v>32</x:v>
      </x:c>
      <x:c r="X49" s="29" t="str">
        <x:v>Bajo</x:v>
      </x:c>
      <x:c r="Y49" s="29" t="str">
        <x:v>Portal bancario</x:v>
      </x:c>
      <x:c r="Z49" s="29" t="str"/>
      <x:c r="AA49" s="29" t="str">
        <x:v>Si</x:v>
      </x:c>
      <x:c r="AB49" s="32" t="str">
        <x:v>Conciliacion no cerrada</x:v>
      </x:c>
    </x:row>
    <x:row r="50">
      <x:c r="A50" s="27" t="str">
        <x:v>TRX-049</x:v>
      </x:c>
      <x:c r="B50" s="28" t="n">
        <x:v>46173</x:v>
      </x:c>
      <x:c r="C50" s="28" t="n">
        <x:v>46173</x:v>
      </x:c>
      <x:c r="D50" s="29" t="str">
        <x:v>EMP-003</x:v>
      </x:c>
      <x:c r="E50" s="29" t="str">
        <x:v>Insumos Horizonte S.A.</x:v>
      </x:c>
      <x:c r="F50" s="29" t="str">
        <x:v>1003-902244</x:v>
      </x:c>
      <x:c r="G50" s="29" t="str">
        <x:v>Banco Capital</x:v>
      </x:c>
      <x:c r="H50" s="29" t="str">
        <x:v>Ingreso</x:v>
      </x:c>
      <x:c r="I50" s="29" t="str">
        <x:v>Venta internacional</x:v>
      </x:c>
      <x:c r="J50" s="29" t="str">
        <x:v>Arrendadora Centro</x:v>
      </x:c>
      <x:c r="K50" s="29" t="str">
        <x:v>FAC-20260049</x:v>
      </x:c>
      <x:c r="L50" s="29" t="str">
        <x:v>COP</x:v>
      </x:c>
      <x:c r="M50" s="30" t="n">
        <x:v>3609717</x:v>
      </x:c>
      <x:c r="N50" s="30" t="n">
        <x:v>0</x:v>
      </x:c>
      <x:c r="O50" s="30" t="n">
        <x:v>3609717</x:v>
      </x:c>
      <x:c r="P50" s="29" t="str">
        <x:v>Debito automatico</x:v>
      </x:c>
      <x:c r="Q50" s="29" t="str">
        <x:v>Comercial</x:v>
      </x:c>
      <x:c r="R50" s="29" t="str">
        <x:v>Cartagena</x:v>
      </x:c>
      <x:c r="S50" s="29" t="str">
        <x:v>Colombia</x:v>
      </x:c>
      <x:c r="T50" s="29" t="str"/>
      <x:c r="U50" s="29" t="str">
        <x:v>Conciliado</x:v>
      </x:c>
      <x:c r="V50" s="28" t="n">
        <x:v>46181</x:v>
      </x:c>
      <x:c r="W50" s="31" t="n">
        <x:v>0</x:v>
      </x:c>
      <x:c r="X50" s="29" t="str">
        <x:v>Bajo</x:v>
      </x:c>
      <x:c r="Y50" s="29" t="str">
        <x:v>PSE</x:v>
      </x:c>
      <x:c r="Z50" s="29" t="str"/>
      <x:c r="AA50" s="29" t="str">
        <x:v>No</x:v>
      </x:c>
      <x:c r="AB50" s="32" t="str"/>
    </x:row>
    <x:row r="51">
      <x:c r="A51" s="27" t="str">
        <x:v>TRX-050</x:v>
      </x:c>
      <x:c r="B51" s="28" t="n">
        <x:v>46176</x:v>
      </x:c>
      <x:c r="C51" s="28" t="n">
        <x:v>46176</x:v>
      </x:c>
      <x:c r="D51" s="29" t="str">
        <x:v>EMP-001</x:v>
      </x:c>
      <x:c r="E51" s="29" t="str">
        <x:v>Nova Retail S.A.S.</x:v>
      </x:c>
      <x:c r="F51" s="29" t="str">
        <x:v>1001-884422</x:v>
      </x:c>
      <x:c r="G51" s="29" t="str">
        <x:v>Banco Pacifico</x:v>
      </x:c>
      <x:c r="H51" s="29" t="str">
        <x:v>Ingreso</x:v>
      </x:c>
      <x:c r="I51" s="29" t="str">
        <x:v>Credito bancario</x:v>
      </x:c>
      <x:c r="J51" s="29" t="str">
        <x:v>Financiera Sur</x:v>
      </x:c>
      <x:c r="K51" s="29" t="str">
        <x:v>FAC-20260050</x:v>
      </x:c>
      <x:c r="L51" s="29" t="str">
        <x:v>COP</x:v>
      </x:c>
      <x:c r="M51" s="30" t="n">
        <x:v>3681650</x:v>
      </x:c>
      <x:c r="N51" s="30" t="n">
        <x:v>0</x:v>
      </x:c>
      <x:c r="O51" s="30" t="n">
        <x:v>3681650</x:v>
      </x:c>
      <x:c r="P51" s="29" t="str">
        <x:v>ACH</x:v>
      </x:c>
      <x:c r="Q51" s="29" t="str">
        <x:v>Operaciones</x:v>
      </x:c>
      <x:c r="R51" s="29" t="str">
        <x:v>Bogota</x:v>
      </x:c>
      <x:c r="S51" s="29" t="str">
        <x:v>Colombia</x:v>
      </x:c>
      <x:c r="T51" s="29" t="str">
        <x:v>Ana Ruiz</x:v>
      </x:c>
      <x:c r="U51" s="29" t="str">
        <x:v>Conciliado</x:v>
      </x:c>
      <x:c r="V51" s="28" t="n">
        <x:v>46189</x:v>
      </x:c>
      <x:c r="W51" s="31" t="n">
        <x:v>0</x:v>
      </x:c>
      <x:c r="X51" s="29" t="str">
        <x:v>Bajo</x:v>
      </x:c>
      <x:c r="Y51" s="29" t="str">
        <x:v>Transferencia</x:v>
      </x:c>
      <x:c r="Z51" s="29" t="str"/>
      <x:c r="AA51" s="29" t="str">
        <x:v>No</x:v>
      </x:c>
      <x:c r="AB51" s="32" t="str"/>
    </x:row>
    <x:row r="52">
      <x:c r="A52" s="27" t="str">
        <x:v>TRX-051</x:v>
      </x:c>
      <x:c r="B52" s="28" t="n">
        <x:v>46179</x:v>
      </x:c>
      <x:c r="C52" s="28" t="n">
        <x:v>46179</x:v>
      </x:c>
      <x:c r="D52" s="29" t="str">
        <x:v>EMP-002</x:v>
      </x:c>
      <x:c r="E52" s="29" t="str">
        <x:v>Logistica Prisma Ltda.</x:v>
      </x:c>
      <x:c r="F52" s="29" t="str">
        <x:v>1002-553311</x:v>
      </x:c>
      <x:c r="G52" s="29" t="str">
        <x:v>Banco Nacional</x:v>
      </x:c>
      <x:c r="H52" s="29" t="str">
        <x:v>Egreso</x:v>
      </x:c>
      <x:c r="I52" s="29" t="str">
        <x:v>Servicios publicos</x:v>
      </x:c>
      <x:c r="J52" s="29" t="str">
        <x:v>Cliente Express</x:v>
      </x:c>
      <x:c r="K52" s="29" t="str">
        <x:v>PAG-20260051</x:v>
      </x:c>
      <x:c r="L52" s="29" t="str">
        <x:v>COP</x:v>
      </x:c>
      <x:c r="M52" s="30" t="n">
        <x:v>-3753583</x:v>
      </x:c>
      <x:c r="N52" s="30" t="n">
        <x:v>-713180.77</x:v>
      </x:c>
      <x:c r="O52" s="30" t="n">
        <x:v>-4466763.77</x:v>
      </x:c>
      <x:c r="P52" s="29" t="str">
        <x:v>Transferencia local</x:v>
      </x:c>
      <x:c r="Q52" s="29" t="str">
        <x:v>Tecnologia</x:v>
      </x:c>
      <x:c r="R52" s="29" t="str">
        <x:v>Medellin</x:v>
      </x:c>
      <x:c r="S52" s="29" t="str">
        <x:v>Colombia</x:v>
      </x:c>
      <x:c r="T52" s="29" t="str">
        <x:v>Carlos Pena</x:v>
      </x:c>
      <x:c r="U52" s="29" t="str">
        <x:v>Conciliado</x:v>
      </x:c>
      <x:c r="V52" s="28" t="n">
        <x:v>46197</x:v>
      </x:c>
      <x:c r="W52" s="31" t="n">
        <x:v>0</x:v>
      </x:c>
      <x:c r="X52" s="29" t="str">
        <x:v>Bajo</x:v>
      </x:c>
      <x:c r="Y52" s="29" t="str">
        <x:v>Tarjeta</x:v>
      </x:c>
      <x:c r="Z52" s="29" t="str">
        <x:v>Valor reportado por banco no coincide con ERP</x:v>
      </x:c>
      <x:c r="AA52" s="29" t="str">
        <x:v>No</x:v>
      </x:c>
      <x:c r="AB52" s="32" t="str"/>
    </x:row>
    <x:row r="53">
      <x:c r="A53" s="27" t="str">
        <x:v>TRX-052</x:v>
      </x:c>
      <x:c r="B53" s="28" t="n">
        <x:v>46182</x:v>
      </x:c>
      <x:c r="C53" s="28" t="n">
        <x:v>46183</x:v>
      </x:c>
      <x:c r="D53" s="29" t="str">
        <x:v>EMP-003</x:v>
      </x:c>
      <x:c r="E53" s="29" t="str">
        <x:v>Insumos Horizonte S.A.</x:v>
      </x:c>
      <x:c r="F53" s="29" t="str">
        <x:v>1003-902244</x:v>
      </x:c>
      <x:c r="G53" s="29" t="str">
        <x:v>Banco Andino</x:v>
      </x:c>
      <x:c r="H53" s="29" t="str">
        <x:v>Egreso</x:v>
      </x:c>
      <x:c r="I53" s="29" t="str">
        <x:v>Arriendo</x:v>
      </x:c>
      <x:c r="J53" s="29" t="str"/>
      <x:c r="K53" s="29" t="str">
        <x:v>PAG-20260052</x:v>
      </x:c>
      <x:c r="L53" s="29" t="str">
        <x:v>COP</x:v>
      </x:c>
      <x:c r="M53" s="30" t="n">
        <x:v>-3825516</x:v>
      </x:c>
      <x:c r="N53" s="30" t="n">
        <x:v>-726848.04</x:v>
      </x:c>
      <x:c r="O53" s="30" t="n">
        <x:v>-4552364.04</x:v>
      </x:c>
      <x:c r="P53" s="29" t="str">
        <x:v>Tarjeta credito</x:v>
      </x:c>
      <x:c r="Q53" s="29" t="str">
        <x:v>Finanzas</x:v>
      </x:c>
      <x:c r="R53" s="29" t="str">
        <x:v>Cali</x:v>
      </x:c>
      <x:c r="S53" s="29" t="str">
        <x:v>Colombia</x:v>
      </x:c>
      <x:c r="T53" s="29" t="str">
        <x:v>Diana Torres</x:v>
      </x:c>
      <x:c r="U53" s="29" t="str">
        <x:v>Diferencia</x:v>
      </x:c>
      <x:c r="V53" s="28" t="n">
        <x:v>46205</x:v>
      </x:c>
      <x:c r="W53" s="31" t="n">
        <x:v>0</x:v>
      </x:c>
      <x:c r="X53" s="29" t="str">
        <x:v>Medio</x:v>
      </x:c>
      <x:c r="Y53" s="29" t="str">
        <x:v>Debito automatico</x:v>
      </x:c>
      <x:c r="Z53" s="29" t="str"/>
      <x:c r="AA53" s="29" t="str">
        <x:v>Si</x:v>
      </x:c>
      <x:c r="AB53" s="32" t="str">
        <x:v>Conciliacion no cerrada</x:v>
      </x:c>
    </x:row>
    <x:row r="54">
      <x:c r="A54" s="27" t="str">
        <x:v>TRX-053</x:v>
      </x:c>
      <x:c r="B54" s="28" t="n">
        <x:v>46185</x:v>
      </x:c>
      <x:c r="C54" s="28" t="n">
        <x:v>46185</x:v>
      </x:c>
      <x:c r="D54" s="29" t="str">
        <x:v>EMP-001</x:v>
      </x:c>
      <x:c r="E54" s="29" t="str">
        <x:v>Nova Retail S.A.S.</x:v>
      </x:c>
      <x:c r="F54" s="29" t="str">
        <x:v>1001-884422</x:v>
      </x:c>
      <x:c r="G54" s="29" t="str">
        <x:v>Banco Capital</x:v>
      </x:c>
      <x:c r="H54" s="29" t="str">
        <x:v>Egreso</x:v>
      </x:c>
      <x:c r="I54" s="29" t="str">
        <x:v>Reembolso</x:v>
      </x:c>
      <x:c r="J54" s="29" t="str">
        <x:v>Cliente Norte S.A.</x:v>
      </x:c>
      <x:c r="K54" s="29" t="str">
        <x:v>PAG-20260053</x:v>
      </x:c>
      <x:c r="L54" s="29" t="str">
        <x:v>COP</x:v>
      </x:c>
      <x:c r="M54" s="30" t="n">
        <x:v>-3897449</x:v>
      </x:c>
      <x:c r="N54" s="30" t="n">
        <x:v>0</x:v>
      </x:c>
      <x:c r="O54" s="30" t="n">
        <x:v>-3897449</x:v>
      </x:c>
      <x:c r="P54" s="29" t="str">
        <x:v>Cheque</x:v>
      </x:c>
      <x:c r="Q54" s="29" t="str"/>
      <x:c r="R54" s="29" t="str">
        <x:v>Barranquilla</x:v>
      </x:c>
      <x:c r="S54" s="29" t="str">
        <x:v>Colombia</x:v>
      </x:c>
      <x:c r="T54" s="29" t="str">
        <x:v>Felipe Mora</x:v>
      </x:c>
      <x:c r="U54" s="29" t="str">
        <x:v>Conciliado</x:v>
      </x:c>
      <x:c r="V54" s="28" t="n">
        <x:v>46213</x:v>
      </x:c>
      <x:c r="W54" s="31" t="n">
        <x:v>0</x:v>
      </x:c>
      <x:c r="X54" s="29" t="str">
        <x:v>Bajo</x:v>
      </x:c>
      <x:c r="Y54" s="29" t="str">
        <x:v>Caja</x:v>
      </x:c>
      <x:c r="Z54" s="29" t="str"/>
      <x:c r="AA54" s="29" t="str">
        <x:v>No</x:v>
      </x:c>
      <x:c r="AB54" s="32" t="str"/>
    </x:row>
    <x:row r="55">
      <x:c r="A55" s="27" t="str">
        <x:v>TRX-054</x:v>
      </x:c>
      <x:c r="B55" s="28" t="n">
        <x:v>46188</x:v>
      </x:c>
      <x:c r="C55" s="28" t="n">
        <x:v>46191</x:v>
      </x:c>
      <x:c r="D55" s="29" t="str">
        <x:v>EMP-002</x:v>
      </x:c>
      <x:c r="E55" s="29" t="str">
        <x:v>Logistica Prisma Ltda.</x:v>
      </x:c>
      <x:c r="F55" s="29" t="str">
        <x:v>1002-553311</x:v>
      </x:c>
      <x:c r="G55" s="29" t="str">
        <x:v>Banco Pacifico</x:v>
      </x:c>
      <x:c r="H55" s="29" t="str">
        <x:v>Egreso</x:v>
      </x:c>
      <x:c r="I55" s="29" t="str">
        <x:v>Comision bancaria</x:v>
      </x:c>
      <x:c r="J55" s="29" t="str">
        <x:v>Distribuidora Delta</x:v>
      </x:c>
      <x:c r="K55" s="29" t="str">
        <x:v>PAG-20260054</x:v>
      </x:c>
      <x:c r="L55" s="29" t="str">
        <x:v>COP</x:v>
      </x:c>
      <x:c r="M55" s="30" t="n">
        <x:v>-3969382</x:v>
      </x:c>
      <x:c r="N55" s="30" t="n">
        <x:v>0</x:v>
      </x:c>
      <x:c r="O55" s="30" t="n">
        <x:v>-3969382</x:v>
      </x:c>
      <x:c r="P55" s="29" t="str">
        <x:v>Debito automatico</x:v>
      </x:c>
      <x:c r="Q55" s="29" t="str">
        <x:v>Administracion</x:v>
      </x:c>
      <x:c r="R55" s="29" t="str">
        <x:v>Cartagena</x:v>
      </x:c>
      <x:c r="S55" s="29" t="str">
        <x:v>Colombia</x:v>
      </x:c>
      <x:c r="T55" s="29" t="str"/>
      <x:c r="U55" s="29" t="str">
        <x:v>Conciliado</x:v>
      </x:c>
      <x:c r="V55" s="28" t="n">
        <x:v>46176</x:v>
      </x:c>
      <x:c r="W55" s="31" t="n">
        <x:v>0</x:v>
      </x:c>
      <x:c r="X55" s="29" t="str">
        <x:v>Bajo</x:v>
      </x:c>
      <x:c r="Y55" s="29" t="str">
        <x:v>Portal bancario</x:v>
      </x:c>
      <x:c r="Z55" s="29" t="str"/>
      <x:c r="AA55" s="29" t="str">
        <x:v>No</x:v>
      </x:c>
      <x:c r="AB55" s="32" t="str"/>
    </x:row>
    <x:row r="56">
      <x:c r="A56" s="27" t="str">
        <x:v>TRX-055</x:v>
      </x:c>
      <x:c r="B56" s="28" t="n">
        <x:v>46191</x:v>
      </x:c>
      <x:c r="C56" s="28" t="n">
        <x:v>46191</x:v>
      </x:c>
      <x:c r="D56" s="29" t="str">
        <x:v>EMP-003</x:v>
      </x:c>
      <x:c r="E56" s="29" t="str">
        <x:v>Insumos Horizonte S.A.</x:v>
      </x:c>
      <x:c r="F56" s="29" t="str">
        <x:v>1003-902244</x:v>
      </x:c>
      <x:c r="G56" s="29" t="str">
        <x:v>Banco Nacional</x:v>
      </x:c>
      <x:c r="H56" s="29" t="str">
        <x:v>Ingreso</x:v>
      </x:c>
      <x:c r="I56" s="29" t="str">
        <x:v>Venta internacional</x:v>
      </x:c>
      <x:c r="J56" s="29" t="str">
        <x:v>Proveedor Alfa</x:v>
      </x:c>
      <x:c r="K56" s="29" t="str">
        <x:v>FAC-20260055</x:v>
      </x:c>
      <x:c r="L56" s="29" t="str">
        <x:v>COP</x:v>
      </x:c>
      <x:c r="M56" s="30" t="n">
        <x:v>4041315</x:v>
      </x:c>
      <x:c r="N56" s="30" t="n">
        <x:v>0</x:v>
      </x:c>
      <x:c r="O56" s="30" t="n">
        <x:v>4041315</x:v>
      </x:c>
      <x:c r="P56" s="29" t="str">
        <x:v>ACH</x:v>
      </x:c>
      <x:c r="Q56" s="29" t="str">
        <x:v>Comercial</x:v>
      </x:c>
      <x:c r="R56" s="29" t="str">
        <x:v>Bogota</x:v>
      </x:c>
      <x:c r="S56" s="29" t="str">
        <x:v>Colombia</x:v>
      </x:c>
      <x:c r="T56" s="29" t="str">
        <x:v>Ana Ruiz</x:v>
      </x:c>
      <x:c r="U56" s="29" t="str">
        <x:v>Conciliado</x:v>
      </x:c>
      <x:c r="V56" s="28" t="n">
        <x:v>46184</x:v>
      </x:c>
      <x:c r="W56" s="31" t="n">
        <x:v>0</x:v>
      </x:c>
      <x:c r="X56" s="29" t="str">
        <x:v>Bajo</x:v>
      </x:c>
      <x:c r="Y56" s="29" t="str">
        <x:v>PSE</x:v>
      </x:c>
      <x:c r="Z56" s="29" t="str"/>
      <x:c r="AA56" s="29" t="str">
        <x:v>No</x:v>
      </x:c>
      <x:c r="AB56" s="32" t="str"/>
    </x:row>
    <x:row r="57">
      <x:c r="A57" s="27" t="str">
        <x:v>TRX-056</x:v>
      </x:c>
      <x:c r="B57" s="28" t="n">
        <x:v>46194</x:v>
      </x:c>
      <x:c r="C57" s="28" t="n">
        <x:v>46195</x:v>
      </x:c>
      <x:c r="D57" s="29" t="str">
        <x:v>EMP-002</x:v>
      </x:c>
      <x:c r="E57" s="29" t="str">
        <x:v>Logistica Prisma Ltda.</x:v>
      </x:c>
      <x:c r="F57" s="29" t="str">
        <x:v>1002-553311</x:v>
      </x:c>
      <x:c r="G57" s="29" t="str">
        <x:v>Banco Andino</x:v>
      </x:c>
      <x:c r="H57" s="29" t="str">
        <x:v>Ingreso</x:v>
      </x:c>
      <x:c r="I57" s="29" t="str">
        <x:v>Credito bancario</x:v>
      </x:c>
      <x:c r="J57" s="29" t="str">
        <x:v>Servicios Beta</x:v>
      </x:c>
      <x:c r="K57" s="29" t="str">
        <x:v>FAC-20260056</x:v>
      </x:c>
      <x:c r="L57" s="29" t="str">
        <x:v>COP</x:v>
      </x:c>
      <x:c r="M57" s="30" t="n">
        <x:v>4113248</x:v>
      </x:c>
      <x:c r="N57" s="30" t="n">
        <x:v>0</x:v>
      </x:c>
      <x:c r="O57" s="30" t="n">
        <x:v>4113248</x:v>
      </x:c>
      <x:c r="P57" s="29" t="str">
        <x:v>Transferencia local</x:v>
      </x:c>
      <x:c r="Q57" s="29" t="str">
        <x:v>Operaciones</x:v>
      </x:c>
      <x:c r="R57" s="29" t="str">
        <x:v>Medellin</x:v>
      </x:c>
      <x:c r="S57" s="29" t="str">
        <x:v>Colombia</x:v>
      </x:c>
      <x:c r="T57" s="29" t="str">
        <x:v>Carlos Pena</x:v>
      </x:c>
      <x:c r="U57" s="29" t="str">
        <x:v>Pendiente</x:v>
      </x:c>
      <x:c r="V57" s="28" t="n">
        <x:v>46192</x:v>
      </x:c>
      <x:c r="W57" s="31" t="n">
        <x:v>13</x:v>
      </x:c>
      <x:c r="X57" s="29" t="str">
        <x:v>Bajo</x:v>
      </x:c>
      <x:c r="Y57" s="29" t="str">
        <x:v>Transferencia</x:v>
      </x:c>
      <x:c r="Z57" s="29" t="str"/>
      <x:c r="AA57" s="29" t="str">
        <x:v>Si</x:v>
      </x:c>
      <x:c r="AB57" s="32" t="str">
        <x:v>Conciliacion no cerrada</x:v>
      </x:c>
    </x:row>
    <x:row r="58">
      <x:c r="A58" s="27" t="str">
        <x:v>TRX-057</x:v>
      </x:c>
      <x:c r="B58" s="28" t="n">
        <x:v>46197</x:v>
      </x:c>
      <x:c r="C58" s="28" t="n">
        <x:v>46197</x:v>
      </x:c>
      <x:c r="D58" s="29" t="str">
        <x:v>EMP-003</x:v>
      </x:c>
      <x:c r="E58" s="29" t="str">
        <x:v>Insumos Horizonte S.A.</x:v>
      </x:c>
      <x:c r="F58" s="29" t="str">
        <x:v>1003-902244</x:v>
      </x:c>
      <x:c r="G58" s="29" t="str">
        <x:v>Banco Capital</x:v>
      </x:c>
      <x:c r="H58" s="29" t="str">
        <x:v>Egreso</x:v>
      </x:c>
      <x:c r="I58" s="29" t="str">
        <x:v>Nomina</x:v>
      </x:c>
      <x:c r="J58" s="29" t="str">
        <x:v>Aduanas Global</x:v>
      </x:c>
      <x:c r="K58" s="29" t="str">
        <x:v>NOM-20260057</x:v>
      </x:c>
      <x:c r="L58" s="29" t="str">
        <x:v>COP</x:v>
      </x:c>
      <x:c r="M58" s="30" t="n">
        <x:v>-4185181</x:v>
      </x:c>
      <x:c r="N58" s="30" t="n">
        <x:v>0</x:v>
      </x:c>
      <x:c r="O58" s="30" t="n">
        <x:v>-4185181</x:v>
      </x:c>
      <x:c r="P58" s="29" t="str">
        <x:v>Tarjeta credito</x:v>
      </x:c>
      <x:c r="Q58" s="29" t="str">
        <x:v>Tecnologia</x:v>
      </x:c>
      <x:c r="R58" s="29" t="str">
        <x:v>Cali</x:v>
      </x:c>
      <x:c r="S58" s="29" t="str">
        <x:v>Colombia</x:v>
      </x:c>
      <x:c r="T58" s="29" t="str">
        <x:v>Diana Torres</x:v>
      </x:c>
      <x:c r="U58" s="29" t="str">
        <x:v>Rechazado</x:v>
      </x:c>
      <x:c r="V58" s="28" t="n">
        <x:v>46200</x:v>
      </x:c>
      <x:c r="W58" s="31" t="n">
        <x:v>5</x:v>
      </x:c>
      <x:c r="X58" s="29" t="str">
        <x:v>Medio</x:v>
      </x:c>
      <x:c r="Y58" s="29" t="str">
        <x:v>Tarjeta</x:v>
      </x:c>
      <x:c r="Z58" s="29" t="str"/>
      <x:c r="AA58" s="29" t="str">
        <x:v>Si</x:v>
      </x:c>
      <x:c r="AB58" s="32" t="str">
        <x:v>Conciliacion no cerrada</x:v>
      </x:c>
    </x:row>
    <x:row r="59">
      <x:c r="A59" s="27" t="str">
        <x:v>TRX-058</x:v>
      </x:c>
      <x:c r="B59" s="28" t="n">
        <x:v>46200</x:v>
      </x:c>
      <x:c r="C59" s="28" t="n">
        <x:v>46200</x:v>
      </x:c>
      <x:c r="D59" s="29" t="str">
        <x:v>EMP-001</x:v>
      </x:c>
      <x:c r="E59" s="29" t="str">
        <x:v>Nova Retail S.A.S.</x:v>
      </x:c>
      <x:c r="F59" s="29" t="str">
        <x:v>1001-884422</x:v>
      </x:c>
      <x:c r="G59" s="29" t="str">
        <x:v>Banco Pacifico</x:v>
      </x:c>
      <x:c r="H59" s="29" t="str">
        <x:v>Egreso</x:v>
      </x:c>
      <x:c r="I59" s="29" t="str">
        <x:v>Impuestos</x:v>
      </x:c>
      <x:c r="J59" s="29" t="str">
        <x:v>Energia Urbana</x:v>
      </x:c>
      <x:c r="K59" s="29" t="str">
        <x:v>PAG-20260058</x:v>
      </x:c>
      <x:c r="L59" s="29" t="str">
        <x:v>COP</x:v>
      </x:c>
      <x:c r="M59" s="30" t="n">
        <x:v>-4257114</x:v>
      </x:c>
      <x:c r="N59" s="30" t="n">
        <x:v>0</x:v>
      </x:c>
      <x:c r="O59" s="30" t="n">
        <x:v>-4257114</x:v>
      </x:c>
      <x:c r="P59" s="29" t="str">
        <x:v>Cheque</x:v>
      </x:c>
      <x:c r="Q59" s="29" t="str">
        <x:v>Finanzas</x:v>
      </x:c>
      <x:c r="R59" s="29" t="str">
        <x:v>Barranquilla</x:v>
      </x:c>
      <x:c r="S59" s="29" t="str">
        <x:v>Colombia</x:v>
      </x:c>
      <x:c r="T59" s="29" t="str"/>
      <x:c r="U59" s="29" t="str">
        <x:v>Conciliado</x:v>
      </x:c>
      <x:c r="V59" s="28" t="n">
        <x:v>46208</x:v>
      </x:c>
      <x:c r="W59" s="31" t="n">
        <x:v>0</x:v>
      </x:c>
      <x:c r="X59" s="29" t="str">
        <x:v>Bajo</x:v>
      </x:c>
      <x:c r="Y59" s="29" t="str">
        <x:v>Debito automatico</x:v>
      </x:c>
      <x:c r="Z59" s="29" t="str"/>
      <x:c r="AA59" s="29" t="str">
        <x:v>Si</x:v>
      </x:c>
      <x:c r="AB59" s="32" t="str">
        <x:v>Responsable vacio</x:v>
      </x:c>
    </x:row>
    <x:row r="60">
      <x:c r="A60" s="27" t="str">
        <x:v>TRX-059</x:v>
      </x:c>
      <x:c r="B60" s="28" t="n">
        <x:v>46027</x:v>
      </x:c>
      <x:c r="C60" s="28" t="n">
        <x:v>46027</x:v>
      </x:c>
      <x:c r="D60" s="29" t="str">
        <x:v>EMP-002</x:v>
      </x:c>
      <x:c r="E60" s="29" t="str">
        <x:v>Logistica Prisma Ltda.</x:v>
      </x:c>
      <x:c r="F60" s="29" t="str">
        <x:v>1002-553311</x:v>
      </x:c>
      <x:c r="G60" s="29" t="str">
        <x:v>Banco Nacional</x:v>
      </x:c>
      <x:c r="H60" s="29" t="str">
        <x:v>Egreso</x:v>
      </x:c>
      <x:c r="I60" s="29" t="str">
        <x:v>Servicios publicos</x:v>
      </x:c>
      <x:c r="J60" s="29" t="str">
        <x:v>Talento Humano</x:v>
      </x:c>
      <x:c r="K60" s="29" t="str">
        <x:v>PAG-20260059</x:v>
      </x:c>
      <x:c r="L60" s="29" t="str">
        <x:v>COP</x:v>
      </x:c>
      <x:c r="M60" s="30" t="n">
        <x:v>-4329047</x:v>
      </x:c>
      <x:c r="N60" s="30" t="n">
        <x:v>-822518.93</x:v>
      </x:c>
      <x:c r="O60" s="30" t="n">
        <x:v>-5151565.93</x:v>
      </x:c>
      <x:c r="P60" s="29" t="str">
        <x:v>Debito automatico</x:v>
      </x:c>
      <x:c r="Q60" s="29" t="str"/>
      <x:c r="R60" s="29" t="str">
        <x:v>Cartagena</x:v>
      </x:c>
      <x:c r="S60" s="29" t="str">
        <x:v>Colombia</x:v>
      </x:c>
      <x:c r="T60" s="29" t="str"/>
      <x:c r="U60" s="29" t="str">
        <x:v>Conciliado</x:v>
      </x:c>
      <x:c r="V60" s="28" t="n">
        <x:v>46040</x:v>
      </x:c>
      <x:c r="W60" s="31" t="n">
        <x:v>0</x:v>
      </x:c>
      <x:c r="X60" s="29" t="str">
        <x:v>Bajo</x:v>
      </x:c>
      <x:c r="Y60" s="29" t="str">
        <x:v>Caja</x:v>
      </x:c>
      <x:c r="Z60" s="29" t="str"/>
      <x:c r="AA60" s="29" t="str">
        <x:v>No</x:v>
      </x:c>
      <x:c r="AB60" s="32" t="str"/>
    </x:row>
    <x:row r="61">
      <x:c r="A61" s="27" t="str">
        <x:v>TRX-060</x:v>
      </x:c>
      <x:c r="B61" s="28" t="n">
        <x:v>46030</x:v>
      </x:c>
      <x:c r="C61" s="28" t="n">
        <x:v>46033</x:v>
      </x:c>
      <x:c r="D61" s="29" t="str">
        <x:v>EMP-003</x:v>
      </x:c>
      <x:c r="E61" s="29" t="str">
        <x:v>Insumos Horizonte S.A.</x:v>
      </x:c>
      <x:c r="F61" s="29" t="str">
        <x:v>1003-902244</x:v>
      </x:c>
      <x:c r="G61" s="29" t="str">
        <x:v>Banco Andino</x:v>
      </x:c>
      <x:c r="H61" s="29" t="str">
        <x:v>Ingreso</x:v>
      </x:c>
      <x:c r="I61" s="29" t="str">
        <x:v>Venta nacional</x:v>
      </x:c>
      <x:c r="J61" s="29" t="str">
        <x:v>Arrendadora Centro</x:v>
      </x:c>
      <x:c r="K61" s="29" t="str">
        <x:v>FAC-20260060</x:v>
      </x:c>
      <x:c r="L61" s="29" t="str">
        <x:v>COP</x:v>
      </x:c>
      <x:c r="M61" s="30" t="n">
        <x:v>4400980</x:v>
      </x:c>
      <x:c r="N61" s="30" t="n">
        <x:v>836186.2</x:v>
      </x:c>
      <x:c r="O61" s="30" t="n">
        <x:v>5237166.2</x:v>
      </x:c>
      <x:c r="P61" s="29" t="str">
        <x:v>ACH</x:v>
      </x:c>
      <x:c r="Q61" s="29" t="str">
        <x:v>Administracion</x:v>
      </x:c>
      <x:c r="R61" s="29" t="str">
        <x:v>Bogota</x:v>
      </x:c>
      <x:c r="S61" s="29" t="str">
        <x:v>Colombia</x:v>
      </x:c>
      <x:c r="T61" s="29" t="str">
        <x:v>Ana Ruiz</x:v>
      </x:c>
      <x:c r="U61" s="29" t="str">
        <x:v>Pendiente</x:v>
      </x:c>
      <x:c r="V61" s="28" t="n">
        <x:v>46048</x:v>
      </x:c>
      <x:c r="W61" s="31" t="n">
        <x:v>157</x:v>
      </x:c>
      <x:c r="X61" s="29" t="str">
        <x:v>Medio</x:v>
      </x:c>
      <x:c r="Y61" s="29" t="str">
        <x:v>Portal bancario</x:v>
      </x:c>
      <x:c r="Z61" s="29" t="str"/>
      <x:c r="AA61" s="29" t="str">
        <x:v>Si</x:v>
      </x:c>
      <x:c r="AB61" s="32" t="str">
        <x:v>Conciliacion no cerrada</x:v>
      </x:c>
    </x:row>
    <x:row r="62">
      <x:c r="A62" s="27" t="str">
        <x:v>TRX-061</x:v>
      </x:c>
      <x:c r="B62" s="28" t="n">
        <x:v>46033</x:v>
      </x:c>
      <x:c r="C62" s="28" t="n">
        <x:v>46033</x:v>
      </x:c>
      <x:c r="D62" s="29" t="str">
        <x:v>EMP-001</x:v>
      </x:c>
      <x:c r="E62" s="29" t="str">
        <x:v>Nova Retail S.A.S.</x:v>
      </x:c>
      <x:c r="F62" s="29" t="str">
        <x:v>1001-884422</x:v>
      </x:c>
      <x:c r="G62" s="29" t="str">
        <x:v>Banco Capital</x:v>
      </x:c>
      <x:c r="H62" s="29" t="str">
        <x:v>Egreso</x:v>
      </x:c>
      <x:c r="I62" s="29" t="str">
        <x:v>Reembolso</x:v>
      </x:c>
      <x:c r="J62" s="29" t="str">
        <x:v>Financiera Sur</x:v>
      </x:c>
      <x:c r="K62" s="29" t="str">
        <x:v>PAG-20260061</x:v>
      </x:c>
      <x:c r="L62" s="29" t="str">
        <x:v>COP</x:v>
      </x:c>
      <x:c r="M62" s="30" t="n">
        <x:v>-4472913</x:v>
      </x:c>
      <x:c r="N62" s="30" t="n">
        <x:v>0</x:v>
      </x:c>
      <x:c r="O62" s="30" t="n">
        <x:v>-4472913</x:v>
      </x:c>
      <x:c r="P62" s="29" t="str">
        <x:v>Transferencia local</x:v>
      </x:c>
      <x:c r="Q62" s="29" t="str">
        <x:v>Comercial</x:v>
      </x:c>
      <x:c r="R62" s="29" t="str">
        <x:v>Medellin</x:v>
      </x:c>
      <x:c r="S62" s="29" t="str">
        <x:v>Colombia</x:v>
      </x:c>
      <x:c r="T62" s="29" t="str">
        <x:v>Carlos Pena</x:v>
      </x:c>
      <x:c r="U62" s="29" t="str">
        <x:v>Conciliado</x:v>
      </x:c>
      <x:c r="V62" s="28" t="n">
        <x:v>46056</x:v>
      </x:c>
      <x:c r="W62" s="31" t="n">
        <x:v>0</x:v>
      </x:c>
      <x:c r="X62" s="29" t="str">
        <x:v>Bajo</x:v>
      </x:c>
      <x:c r="Y62" s="29" t="str">
        <x:v>PSE</x:v>
      </x:c>
      <x:c r="Z62" s="29" t="str"/>
      <x:c r="AA62" s="29" t="str">
        <x:v>No</x:v>
      </x:c>
      <x:c r="AB62" s="32" t="str"/>
    </x:row>
    <x:row r="63">
      <x:c r="A63" s="27" t="str">
        <x:v>TRX-062</x:v>
      </x:c>
      <x:c r="B63" s="28" t="n">
        <x:v>46036</x:v>
      </x:c>
      <x:c r="C63" s="28" t="n">
        <x:v>46036</x:v>
      </x:c>
      <x:c r="D63" s="29" t="str">
        <x:v>EMP-002</x:v>
      </x:c>
      <x:c r="E63" s="29" t="str">
        <x:v>Logistica Prisma Ltda.</x:v>
      </x:c>
      <x:c r="F63" s="29" t="str">
        <x:v>1002-553311</x:v>
      </x:c>
      <x:c r="G63" s="29" t="str">
        <x:v>Banco Pacifico</x:v>
      </x:c>
      <x:c r="H63" s="29" t="str">
        <x:v>Egreso</x:v>
      </x:c>
      <x:c r="I63" s="29" t="str">
        <x:v>Comision bancaria</x:v>
      </x:c>
      <x:c r="J63" s="29" t="str">
        <x:v>Cliente Express</x:v>
      </x:c>
      <x:c r="K63" s="29" t="str">
        <x:v>PAG-20260062</x:v>
      </x:c>
      <x:c r="L63" s="29" t="str">
        <x:v>COP</x:v>
      </x:c>
      <x:c r="M63" s="30" t="n">
        <x:v>-4544846</x:v>
      </x:c>
      <x:c r="N63" s="30" t="n">
        <x:v>0</x:v>
      </x:c>
      <x:c r="O63" s="30" t="n">
        <x:v>-4544846</x:v>
      </x:c>
      <x:c r="P63" s="29" t="str">
        <x:v>Tarjeta credito</x:v>
      </x:c>
      <x:c r="Q63" s="29" t="str"/>
      <x:c r="R63" s="29" t="str">
        <x:v>Cali</x:v>
      </x:c>
      <x:c r="S63" s="29" t="str">
        <x:v>Colombia</x:v>
      </x:c>
      <x:c r="T63" s="29" t="str">
        <x:v>Diana Torres</x:v>
      </x:c>
      <x:c r="U63" s="29" t="str">
        <x:v>Conciliado</x:v>
      </x:c>
      <x:c r="V63" s="28" t="n">
        <x:v>46064</x:v>
      </x:c>
      <x:c r="W63" s="31" t="n">
        <x:v>0</x:v>
      </x:c>
      <x:c r="X63" s="29" t="str">
        <x:v>Bajo</x:v>
      </x:c>
      <x:c r="Y63" s="29" t="str">
        <x:v>Transferencia</x:v>
      </x:c>
      <x:c r="Z63" s="29" t="str"/>
      <x:c r="AA63" s="29" t="str">
        <x:v>Si</x:v>
      </x:c>
      <x:c r="AB63" s="32" t="str">
        <x:v>Centro de costo vacio</x:v>
      </x:c>
    </x:row>
    <x:row r="64">
      <x:c r="A64" s="27" t="str">
        <x:v>TRX-063</x:v>
      </x:c>
      <x:c r="B64" s="28" t="n">
        <x:v>46039</x:v>
      </x:c>
      <x:c r="C64" s="28" t="n">
        <x:v>46039</x:v>
      </x:c>
      <x:c r="D64" s="29" t="str">
        <x:v>EMP-001</x:v>
      </x:c>
      <x:c r="E64" s="29" t="str">
        <x:v>Nova Retail S.A.S.</x:v>
      </x:c>
      <x:c r="F64" s="29" t="str">
        <x:v>1001-884422</x:v>
      </x:c>
      <x:c r="G64" s="29" t="str">
        <x:v>Banco Nacional</x:v>
      </x:c>
      <x:c r="H64" s="29" t="str">
        <x:v>Ingreso</x:v>
      </x:c>
      <x:c r="I64" s="29" t="str">
        <x:v>Venta nacional</x:v>
      </x:c>
      <x:c r="J64" s="29" t="str"/>
      <x:c r="K64" s="29" t="str">
        <x:v>FAC-20260063</x:v>
      </x:c>
      <x:c r="L64" s="29" t="str">
        <x:v>COP</x:v>
      </x:c>
      <x:c r="M64" s="30" t="n">
        <x:v>4616779</x:v>
      </x:c>
      <x:c r="N64" s="30" t="n">
        <x:v>877188.01</x:v>
      </x:c>
      <x:c r="O64" s="30" t="n">
        <x:v>5493967.01</x:v>
      </x:c>
      <x:c r="P64" s="29" t="str">
        <x:v>Cheque</x:v>
      </x:c>
      <x:c r="Q64" s="29" t="str">
        <x:v>Tecnologia</x:v>
      </x:c>
      <x:c r="R64" s="29" t="str">
        <x:v>Barranquilla</x:v>
      </x:c>
      <x:c r="S64" s="29" t="str">
        <x:v>Colombia</x:v>
      </x:c>
      <x:c r="T64" s="29" t="str">
        <x:v>Felipe Mora</x:v>
      </x:c>
      <x:c r="U64" s="29" t="str">
        <x:v>Conciliado</x:v>
      </x:c>
      <x:c r="V64" s="28" t="n">
        <x:v>46027</x:v>
      </x:c>
      <x:c r="W64" s="31" t="n">
        <x:v>0</x:v>
      </x:c>
      <x:c r="X64" s="29" t="str">
        <x:v>Bajo</x:v>
      </x:c>
      <x:c r="Y64" s="29" t="str">
        <x:v>Tarjeta</x:v>
      </x:c>
      <x:c r="Z64" s="29" t="str"/>
      <x:c r="AA64" s="29" t="str">
        <x:v>No</x:v>
      </x:c>
      <x:c r="AB64" s="32" t="str"/>
    </x:row>
    <x:row r="65">
      <x:c r="A65" s="27" t="str">
        <x:v>TRX-064</x:v>
      </x:c>
      <x:c r="B65" s="28" t="n">
        <x:v>46042</x:v>
      </x:c>
      <x:c r="C65" s="28" t="n">
        <x:v>46043</x:v>
      </x:c>
      <x:c r="D65" s="29" t="str">
        <x:v>EMP-002</x:v>
      </x:c>
      <x:c r="E65" s="29" t="str">
        <x:v>Logistica Prisma Ltda.</x:v>
      </x:c>
      <x:c r="F65" s="29" t="str">
        <x:v>1002-553311</x:v>
      </x:c>
      <x:c r="G65" s="29" t="str">
        <x:v>Banco Andino</x:v>
      </x:c>
      <x:c r="H65" s="29" t="str">
        <x:v>Egreso</x:v>
      </x:c>
      <x:c r="I65" s="29" t="str">
        <x:v>Pago proveedor</x:v>
      </x:c>
      <x:c r="J65" s="29" t="str">
        <x:v>Cliente Norte S.A.</x:v>
      </x:c>
      <x:c r="K65" s="29" t="str">
        <x:v>PAG-20260064</x:v>
      </x:c>
      <x:c r="L65" s="29" t="str">
        <x:v>COP</x:v>
      </x:c>
      <x:c r="M65" s="30" t="n">
        <x:v>-4688712</x:v>
      </x:c>
      <x:c r="N65" s="30" t="n">
        <x:v>-890855.28</x:v>
      </x:c>
      <x:c r="O65" s="30" t="n">
        <x:v>-5579567.28</x:v>
      </x:c>
      <x:c r="P65" s="29" t="str">
        <x:v>Debito automatico</x:v>
      </x:c>
      <x:c r="Q65" s="29" t="str">
        <x:v>Finanzas</x:v>
      </x:c>
      <x:c r="R65" s="29" t="str">
        <x:v>Cartagena</x:v>
      </x:c>
      <x:c r="S65" s="29" t="str">
        <x:v>Colombia</x:v>
      </x:c>
      <x:c r="T65" s="29" t="str"/>
      <x:c r="U65" s="29" t="str">
        <x:v>Pendiente</x:v>
      </x:c>
      <x:c r="V65" s="28" t="n">
        <x:v>46035</x:v>
      </x:c>
      <x:c r="W65" s="31" t="n">
        <x:v>170</x:v>
      </x:c>
      <x:c r="X65" s="29" t="str">
        <x:v>Medio</x:v>
      </x:c>
      <x:c r="Y65" s="29" t="str">
        <x:v>Debito automatico</x:v>
      </x:c>
      <x:c r="Z65" s="29" t="str"/>
      <x:c r="AA65" s="29" t="str">
        <x:v>Si</x:v>
      </x:c>
      <x:c r="AB65" s="32" t="str">
        <x:v>Conciliacion no cerrada</x:v>
      </x:c>
    </x:row>
    <x:row r="66">
      <x:c r="A66" s="27" t="str">
        <x:v>TRX-065</x:v>
      </x:c>
      <x:c r="B66" s="28" t="n">
        <x:v>46045</x:v>
      </x:c>
      <x:c r="C66" s="28" t="n">
        <x:v>46045</x:v>
      </x:c>
      <x:c r="D66" s="29" t="str">
        <x:v>EMP-003</x:v>
      </x:c>
      <x:c r="E66" s="29" t="str">
        <x:v>Insumos Horizonte S.A.</x:v>
      </x:c>
      <x:c r="F66" s="29" t="str">
        <x:v>1003-902244</x:v>
      </x:c>
      <x:c r="G66" s="29" t="str">
        <x:v>Banco Capital</x:v>
      </x:c>
      <x:c r="H66" s="29" t="str">
        <x:v>Ingreso</x:v>
      </x:c>
      <x:c r="I66" s="29" t="str">
        <x:v>Credito bancario</x:v>
      </x:c>
      <x:c r="J66" s="29" t="str">
        <x:v>Distribuidora Delta</x:v>
      </x:c>
      <x:c r="K66" s="29" t="str">
        <x:v>FAC-20260065</x:v>
      </x:c>
      <x:c r="L66" s="29" t="str">
        <x:v>COP</x:v>
      </x:c>
      <x:c r="M66" s="30" t="n">
        <x:v>4760645</x:v>
      </x:c>
      <x:c r="N66" s="30" t="n">
        <x:v>0</x:v>
      </x:c>
      <x:c r="O66" s="30" t="n">
        <x:v>4760645</x:v>
      </x:c>
      <x:c r="P66" s="29" t="str">
        <x:v>ACH</x:v>
      </x:c>
      <x:c r="Q66" s="29" t="str"/>
      <x:c r="R66" s="29" t="str">
        <x:v>Bogota</x:v>
      </x:c>
      <x:c r="S66" s="29" t="str">
        <x:v>Colombia</x:v>
      </x:c>
      <x:c r="T66" s="29" t="str">
        <x:v>Ana Ruiz</x:v>
      </x:c>
      <x:c r="U66" s="29" t="str">
        <x:v>Diferencia</x:v>
      </x:c>
      <x:c r="V66" s="28" t="n">
        <x:v>46043</x:v>
      </x:c>
      <x:c r="W66" s="31" t="n">
        <x:v>162</x:v>
      </x:c>
      <x:c r="X66" s="29" t="str">
        <x:v>Medio</x:v>
      </x:c>
      <x:c r="Y66" s="29" t="str">
        <x:v>Caja</x:v>
      </x:c>
      <x:c r="Z66" s="29" t="str"/>
      <x:c r="AA66" s="29" t="str">
        <x:v>Si</x:v>
      </x:c>
      <x:c r="AB66" s="32" t="str">
        <x:v>Conciliacion no cerrada</x:v>
      </x:c>
    </x:row>
    <x:row r="67">
      <x:c r="A67" s="27" t="str">
        <x:v>TRX-066</x:v>
      </x:c>
      <x:c r="B67" s="28" t="n">
        <x:v>46048</x:v>
      </x:c>
      <x:c r="C67" s="28" t="n">
        <x:v>46051</x:v>
      </x:c>
      <x:c r="D67" s="29" t="str">
        <x:v>EMP-001</x:v>
      </x:c>
      <x:c r="E67" s="29" t="str">
        <x:v>Nova Retail S.A.S.</x:v>
      </x:c>
      <x:c r="F67" s="29" t="str">
        <x:v>1001-884422</x:v>
      </x:c>
      <x:c r="G67" s="29" t="str">
        <x:v>Banco Pacifico</x:v>
      </x:c>
      <x:c r="H67" s="29" t="str">
        <x:v>Ingreso</x:v>
      </x:c>
      <x:c r="I67" s="29" t="str">
        <x:v>Venta nacional</x:v>
      </x:c>
      <x:c r="J67" s="29" t="str">
        <x:v>Proveedor Alfa</x:v>
      </x:c>
      <x:c r="K67" s="29" t="str">
        <x:v>FAC-20260066</x:v>
      </x:c>
      <x:c r="L67" s="29" t="str">
        <x:v>COP</x:v>
      </x:c>
      <x:c r="M67" s="30" t="n">
        <x:v>4832578</x:v>
      </x:c>
      <x:c r="N67" s="30" t="n">
        <x:v>918189.82</x:v>
      </x:c>
      <x:c r="O67" s="30" t="n">
        <x:v>5750767.82</x:v>
      </x:c>
      <x:c r="P67" s="29" t="str">
        <x:v>Transferencia local</x:v>
      </x:c>
      <x:c r="Q67" s="29" t="str">
        <x:v>Administracion</x:v>
      </x:c>
      <x:c r="R67" s="29" t="str">
        <x:v>Medellin</x:v>
      </x:c>
      <x:c r="S67" s="29" t="str">
        <x:v>Colombia</x:v>
      </x:c>
      <x:c r="T67" s="29" t="str">
        <x:v>Carlos Pena</x:v>
      </x:c>
      <x:c r="U67" s="29" t="str">
        <x:v>Conciliado</x:v>
      </x:c>
      <x:c r="V67" s="28" t="n">
        <x:v>46051</x:v>
      </x:c>
      <x:c r="W67" s="31" t="n">
        <x:v>0</x:v>
      </x:c>
      <x:c r="X67" s="29" t="str">
        <x:v>Bajo</x:v>
      </x:c>
      <x:c r="Y67" s="29" t="str">
        <x:v>Portal bancario</x:v>
      </x:c>
      <x:c r="Z67" s="29" t="str"/>
      <x:c r="AA67" s="29" t="str">
        <x:v>No</x:v>
      </x:c>
      <x:c r="AB67" s="32" t="str"/>
    </x:row>
    <x:row r="68">
      <x:c r="A68" s="27" t="str">
        <x:v>TRX-067</x:v>
      </x:c>
      <x:c r="B68" s="28" t="n">
        <x:v>46051</x:v>
      </x:c>
      <x:c r="C68" s="28" t="n">
        <x:v>46051</x:v>
      </x:c>
      <x:c r="D68" s="29" t="str">
        <x:v>EMP-002</x:v>
      </x:c>
      <x:c r="E68" s="29" t="str">
        <x:v>Logistica Prisma Ltda.</x:v>
      </x:c>
      <x:c r="F68" s="29" t="str">
        <x:v>1002-553311</x:v>
      </x:c>
      <x:c r="G68" s="29" t="str">
        <x:v>Banco Nacional</x:v>
      </x:c>
      <x:c r="H68" s="29" t="str">
        <x:v>Egreso</x:v>
      </x:c>
      <x:c r="I68" s="29" t="str">
        <x:v>Servicios publicos</x:v>
      </x:c>
      <x:c r="J68" s="29" t="str">
        <x:v>Servicios Beta</x:v>
      </x:c>
      <x:c r="K68" s="29" t="str">
        <x:v>PAG-20260067</x:v>
      </x:c>
      <x:c r="L68" s="29" t="str">
        <x:v>COP</x:v>
      </x:c>
      <x:c r="M68" s="30" t="n">
        <x:v>-4904511</x:v>
      </x:c>
      <x:c r="N68" s="30" t="n">
        <x:v>-931857.09</x:v>
      </x:c>
      <x:c r="O68" s="30" t="n">
        <x:v>-5836368.09</x:v>
      </x:c>
      <x:c r="P68" s="29" t="str">
        <x:v>Tarjeta credito</x:v>
      </x:c>
      <x:c r="Q68" s="29" t="str">
        <x:v>Comercial</x:v>
      </x:c>
      <x:c r="R68" s="29" t="str">
        <x:v>Cali</x:v>
      </x:c>
      <x:c r="S68" s="29" t="str">
        <x:v>Colombia</x:v>
      </x:c>
      <x:c r="T68" s="29" t="str">
        <x:v>Diana Torres</x:v>
      </x:c>
      <x:c r="U68" s="29" t="str">
        <x:v>Conciliado</x:v>
      </x:c>
      <x:c r="V68" s="28" t="n">
        <x:v>46059</x:v>
      </x:c>
      <x:c r="W68" s="31" t="n">
        <x:v>0</x:v>
      </x:c>
      <x:c r="X68" s="29" t="str">
        <x:v>Bajo</x:v>
      </x:c>
      <x:c r="Y68" s="29" t="str">
        <x:v>PSE</x:v>
      </x:c>
      <x:c r="Z68" s="29" t="str"/>
      <x:c r="AA68" s="29" t="str">
        <x:v>No</x:v>
      </x:c>
      <x:c r="AB68" s="32" t="str"/>
    </x:row>
    <x:row r="69">
      <x:c r="A69" s="27" t="str">
        <x:v>TRX-068</x:v>
      </x:c>
      <x:c r="B69" s="28" t="n">
        <x:v>46054</x:v>
      </x:c>
      <x:c r="C69" s="28" t="n">
        <x:v>46055</x:v>
      </x:c>
      <x:c r="D69" s="29" t="str">
        <x:v>EMP-003</x:v>
      </x:c>
      <x:c r="E69" s="29" t="str">
        <x:v>Insumos Horizonte S.A.</x:v>
      </x:c>
      <x:c r="F69" s="29" t="str">
        <x:v>1003-902244</x:v>
      </x:c>
      <x:c r="G69" s="29" t="str">
        <x:v>Banco Andino</x:v>
      </x:c>
      <x:c r="H69" s="29" t="str">
        <x:v>Egreso</x:v>
      </x:c>
      <x:c r="I69" s="29" t="str">
        <x:v>Arriendo</x:v>
      </x:c>
      <x:c r="J69" s="29" t="str">
        <x:v>Aduanas Global</x:v>
      </x:c>
      <x:c r="K69" s="29" t="str">
        <x:v>PAG-20260068</x:v>
      </x:c>
      <x:c r="L69" s="29" t="str">
        <x:v>COP</x:v>
      </x:c>
      <x:c r="M69" s="30" t="n">
        <x:v>-4976444</x:v>
      </x:c>
      <x:c r="N69" s="30" t="n">
        <x:v>-945524.36</x:v>
      </x:c>
      <x:c r="O69" s="30" t="n">
        <x:v>-5921968.36</x:v>
      </x:c>
      <x:c r="P69" s="29" t="str">
        <x:v>Cheque</x:v>
      </x:c>
      <x:c r="Q69" s="29" t="str">
        <x:v>Operaciones</x:v>
      </x:c>
      <x:c r="R69" s="29" t="str">
        <x:v>Barranquilla</x:v>
      </x:c>
      <x:c r="S69" s="29" t="str">
        <x:v>Colombia</x:v>
      </x:c>
      <x:c r="T69" s="29" t="str">
        <x:v>Felipe Mora</x:v>
      </x:c>
      <x:c r="U69" s="29" t="str">
        <x:v>Pendiente</x:v>
      </x:c>
      <x:c r="V69" s="28" t="n">
        <x:v>46067</x:v>
      </x:c>
      <x:c r="W69" s="31" t="n">
        <x:v>138</x:v>
      </x:c>
      <x:c r="X69" s="29" t="str">
        <x:v>Medio</x:v>
      </x:c>
      <x:c r="Y69" s="29" t="str">
        <x:v>Transferencia</x:v>
      </x:c>
      <x:c r="Z69" s="29" t="str">
        <x:v>Valor reportado por banco no coincide con ERP</x:v>
      </x:c>
      <x:c r="AA69" s="29" t="str">
        <x:v>Si</x:v>
      </x:c>
      <x:c r="AB69" s="32" t="str">
        <x:v>Conciliacion no cerrada</x:v>
      </x:c>
    </x:row>
    <x:row r="70">
      <x:c r="A70" s="27" t="str">
        <x:v>TRX-069</x:v>
      </x:c>
      <x:c r="B70" s="28" t="n">
        <x:v>46057</x:v>
      </x:c>
      <x:c r="C70" s="28" t="n">
        <x:v>46057</x:v>
      </x:c>
      <x:c r="D70" s="29" t="str">
        <x:v>EMP-001</x:v>
      </x:c>
      <x:c r="E70" s="29" t="str">
        <x:v>Nova Retail S.A.S.</x:v>
      </x:c>
      <x:c r="F70" s="29" t="str">
        <x:v>1001-884422</x:v>
      </x:c>
      <x:c r="G70" s="29" t="str">
        <x:v>Banco Capital</x:v>
      </x:c>
      <x:c r="H70" s="29" t="str">
        <x:v>Egreso</x:v>
      </x:c>
      <x:c r="I70" s="29" t="str">
        <x:v>Reembolso</x:v>
      </x:c>
      <x:c r="J70" s="29" t="str">
        <x:v>Energia Urbana</x:v>
      </x:c>
      <x:c r="K70" s="29" t="str"/>
      <x:c r="L70" s="29" t="str">
        <x:v>COP</x:v>
      </x:c>
      <x:c r="M70" s="30" t="n">
        <x:v>-5048377</x:v>
      </x:c>
      <x:c r="N70" s="30" t="n">
        <x:v>0</x:v>
      </x:c>
      <x:c r="O70" s="30" t="n">
        <x:v>-5048377</x:v>
      </x:c>
      <x:c r="P70" s="29" t="str">
        <x:v>Debito automatico</x:v>
      </x:c>
      <x:c r="Q70" s="29" t="str">
        <x:v>Tecnologia</x:v>
      </x:c>
      <x:c r="R70" s="29" t="str">
        <x:v>Cartagena</x:v>
      </x:c>
      <x:c r="S70" s="29" t="str">
        <x:v>Colombia</x:v>
      </x:c>
      <x:c r="T70" s="29" t="str"/>
      <x:c r="U70" s="29" t="str">
        <x:v>Conciliado</x:v>
      </x:c>
      <x:c r="V70" s="28" t="n">
        <x:v>46075</x:v>
      </x:c>
      <x:c r="W70" s="31" t="n">
        <x:v>0</x:v>
      </x:c>
      <x:c r="X70" s="29" t="str">
        <x:v>Bajo</x:v>
      </x:c>
      <x:c r="Y70" s="29" t="str">
        <x:v>Tarjeta</x:v>
      </x:c>
      <x:c r="Z70" s="29" t="str">
        <x:v>Soporte pendiente</x:v>
      </x:c>
      <x:c r="AA70" s="29" t="str">
        <x:v>Si</x:v>
      </x:c>
      <x:c r="AB70" s="32" t="str">
        <x:v>Documento faltante</x:v>
      </x:c>
    </x:row>
    <x:row r="71">
      <x:c r="A71" s="27" t="str">
        <x:v>TRX-070</x:v>
      </x:c>
      <x:c r="B71" s="28" t="n">
        <x:v>46060</x:v>
      </x:c>
      <x:c r="C71" s="28" t="n">
        <x:v>46060</x:v>
      </x:c>
      <x:c r="D71" s="29" t="str">
        <x:v>EMP-003</x:v>
      </x:c>
      <x:c r="E71" s="29" t="str">
        <x:v>Insumos Horizonte S.A.</x:v>
      </x:c>
      <x:c r="F71" s="29" t="str">
        <x:v>1003-902244</x:v>
      </x:c>
      <x:c r="G71" s="29" t="str">
        <x:v>Banco Pacifico</x:v>
      </x:c>
      <x:c r="H71" s="29" t="str">
        <x:v>Ingreso</x:v>
      </x:c>
      <x:c r="I71" s="29" t="str">
        <x:v>Venta internacional</x:v>
      </x:c>
      <x:c r="J71" s="29" t="str">
        <x:v>Talento Humano</x:v>
      </x:c>
      <x:c r="K71" s="29" t="str">
        <x:v>FAC-20260070</x:v>
      </x:c>
      <x:c r="L71" s="29" t="str">
        <x:v>COP</x:v>
      </x:c>
      <x:c r="M71" s="30" t="n">
        <x:v>5120310</x:v>
      </x:c>
      <x:c r="N71" s="30" t="n">
        <x:v>0</x:v>
      </x:c>
      <x:c r="O71" s="30" t="n">
        <x:v>5120310</x:v>
      </x:c>
      <x:c r="P71" s="29" t="str">
        <x:v>ACH</x:v>
      </x:c>
      <x:c r="Q71" s="29" t="str">
        <x:v>Finanzas</x:v>
      </x:c>
      <x:c r="R71" s="29" t="str">
        <x:v>Bogota</x:v>
      </x:c>
      <x:c r="S71" s="29" t="str">
        <x:v>Colombia</x:v>
      </x:c>
      <x:c r="T71" s="29" t="str">
        <x:v>Ana Ruiz</x:v>
      </x:c>
      <x:c r="U71" s="29" t="str">
        <x:v>Conciliado</x:v>
      </x:c>
      <x:c r="V71" s="28" t="n">
        <x:v>46083</x:v>
      </x:c>
      <x:c r="W71" s="31" t="n">
        <x:v>0</x:v>
      </x:c>
      <x:c r="X71" s="29" t="str">
        <x:v>Bajo</x:v>
      </x:c>
      <x:c r="Y71" s="29" t="str">
        <x:v>Debito automatico</x:v>
      </x:c>
      <x:c r="Z71" s="29" t="str"/>
      <x:c r="AA71" s="29" t="str">
        <x:v>No</x:v>
      </x:c>
      <x:c r="AB71" s="32" t="str"/>
    </x:row>
    <x:row r="72">
      <x:c r="A72" s="27" t="str">
        <x:v>TRX-071</x:v>
      </x:c>
      <x:c r="B72" s="28" t="n">
        <x:v>46063</x:v>
      </x:c>
      <x:c r="C72" s="28" t="n">
        <x:v>46063</x:v>
      </x:c>
      <x:c r="D72" s="29" t="str">
        <x:v>EMP-001</x:v>
      </x:c>
      <x:c r="E72" s="29" t="str">
        <x:v>Nova Retail S.A.S.</x:v>
      </x:c>
      <x:c r="F72" s="29" t="str">
        <x:v>1001-884422</x:v>
      </x:c>
      <x:c r="G72" s="29" t="str">
        <x:v>Banco Nacional</x:v>
      </x:c>
      <x:c r="H72" s="29" t="str">
        <x:v>Egreso</x:v>
      </x:c>
      <x:c r="I72" s="29" t="str">
        <x:v>Credito bancario</x:v>
      </x:c>
      <x:c r="J72" s="29" t="str">
        <x:v>Arrendadora Centro</x:v>
      </x:c>
      <x:c r="K72" s="29" t="str">
        <x:v>PAG-20260071</x:v>
      </x:c>
      <x:c r="L72" s="29" t="str">
        <x:v>COP</x:v>
      </x:c>
      <x:c r="M72" s="30" t="n">
        <x:v>-5192243</x:v>
      </x:c>
      <x:c r="N72" s="30" t="n">
        <x:v>0</x:v>
      </x:c>
      <x:c r="O72" s="30" t="n">
        <x:v>-5192243</x:v>
      </x:c>
      <x:c r="P72" s="29" t="str">
        <x:v>Transferencia local</x:v>
      </x:c>
      <x:c r="Q72" s="29" t="str"/>
      <x:c r="R72" s="29" t="str">
        <x:v>Medellin</x:v>
      </x:c>
      <x:c r="S72" s="29" t="str">
        <x:v>Colombia</x:v>
      </x:c>
      <x:c r="T72" s="29" t="str">
        <x:v>Carlos Pena</x:v>
      </x:c>
      <x:c r="U72" s="29" t="str">
        <x:v>Conciliado</x:v>
      </x:c>
      <x:c r="V72" s="28" t="n">
        <x:v>46091</x:v>
      </x:c>
      <x:c r="W72" s="31" t="n">
        <x:v>0</x:v>
      </x:c>
      <x:c r="X72" s="29" t="str">
        <x:v>Bajo</x:v>
      </x:c>
      <x:c r="Y72" s="29" t="str">
        <x:v>Caja</x:v>
      </x:c>
      <x:c r="Z72" s="29" t="str"/>
      <x:c r="AA72" s="29" t="str">
        <x:v>No</x:v>
      </x:c>
      <x:c r="AB72" s="32" t="str"/>
    </x:row>
    <x:row r="73">
      <x:c r="A73" s="27" t="str">
        <x:v>TRX-072</x:v>
      </x:c>
      <x:c r="B73" s="28" t="n">
        <x:v>46066</x:v>
      </x:c>
      <x:c r="C73" s="28" t="n">
        <x:v>46069</x:v>
      </x:c>
      <x:c r="D73" s="29" t="str">
        <x:v>EMP-002</x:v>
      </x:c>
      <x:c r="E73" s="29" t="str">
        <x:v>Logistica Prisma Ltda.</x:v>
      </x:c>
      <x:c r="F73" s="29" t="str">
        <x:v>1002-553311</x:v>
      </x:c>
      <x:c r="G73" s="29" t="str">
        <x:v>Banco Andino</x:v>
      </x:c>
      <x:c r="H73" s="29" t="str">
        <x:v>Egreso</x:v>
      </x:c>
      <x:c r="I73" s="29" t="str">
        <x:v>Pago proveedor</x:v>
      </x:c>
      <x:c r="J73" s="29" t="str">
        <x:v>Financiera Sur</x:v>
      </x:c>
      <x:c r="K73" s="29" t="str">
        <x:v>PAG-20260072</x:v>
      </x:c>
      <x:c r="L73" s="29" t="str">
        <x:v>COP</x:v>
      </x:c>
      <x:c r="M73" s="30" t="n">
        <x:v>-5264176</x:v>
      </x:c>
      <x:c r="N73" s="30" t="n">
        <x:v>-1000193.44</x:v>
      </x:c>
      <x:c r="O73" s="30" t="n">
        <x:v>-6264369.44</x:v>
      </x:c>
      <x:c r="P73" s="29" t="str">
        <x:v>Tarjeta credito</x:v>
      </x:c>
      <x:c r="Q73" s="29" t="str">
        <x:v>Administracion</x:v>
      </x:c>
      <x:c r="R73" s="29" t="str">
        <x:v>Cali</x:v>
      </x:c>
      <x:c r="S73" s="29" t="str">
        <x:v>Colombia</x:v>
      </x:c>
      <x:c r="T73" s="29" t="str">
        <x:v>Diana Torres</x:v>
      </x:c>
      <x:c r="U73" s="29" t="str">
        <x:v>Pendiente</x:v>
      </x:c>
      <x:c r="V73" s="28" t="n">
        <x:v>46054</x:v>
      </x:c>
      <x:c r="W73" s="31" t="n">
        <x:v>151</x:v>
      </x:c>
      <x:c r="X73" s="29" t="str">
        <x:v>Medio</x:v>
      </x:c>
      <x:c r="Y73" s="29" t="str">
        <x:v>Portal bancario</x:v>
      </x:c>
      <x:c r="Z73" s="29" t="str"/>
      <x:c r="AA73" s="29" t="str">
        <x:v>Si</x:v>
      </x:c>
      <x:c r="AB73" s="32" t="str">
        <x:v>Conciliacion no cerrada</x:v>
      </x:c>
    </x:row>
    <x:row r="74">
      <x:c r="A74" s="27" t="str">
        <x:v>TRX-073</x:v>
      </x:c>
      <x:c r="B74" s="28" t="n">
        <x:v>46069</x:v>
      </x:c>
      <x:c r="C74" s="28" t="n">
        <x:v>46069</x:v>
      </x:c>
      <x:c r="D74" s="29" t="str">
        <x:v>EMP-003</x:v>
      </x:c>
      <x:c r="E74" s="29" t="str">
        <x:v>Insumos Horizonte S.A.</x:v>
      </x:c>
      <x:c r="F74" s="29" t="str">
        <x:v>1003-902244</x:v>
      </x:c>
      <x:c r="G74" s="29" t="str">
        <x:v>Banco Capital</x:v>
      </x:c>
      <x:c r="H74" s="29" t="str">
        <x:v>Egreso</x:v>
      </x:c>
      <x:c r="I74" s="29" t="str">
        <x:v>Nomina</x:v>
      </x:c>
      <x:c r="J74" s="29" t="str">
        <x:v>Cliente Express</x:v>
      </x:c>
      <x:c r="K74" s="29" t="str">
        <x:v>NOM-20260073</x:v>
      </x:c>
      <x:c r="L74" s="29" t="str">
        <x:v>COP</x:v>
      </x:c>
      <x:c r="M74" s="30" t="n">
        <x:v>-5336109</x:v>
      </x:c>
      <x:c r="N74" s="30" t="n">
        <x:v>0</x:v>
      </x:c>
      <x:c r="O74" s="30" t="n">
        <x:v>-5336109</x:v>
      </x:c>
      <x:c r="P74" s="29" t="str">
        <x:v>Cheque</x:v>
      </x:c>
      <x:c r="Q74" s="29" t="str">
        <x:v>Comercial</x:v>
      </x:c>
      <x:c r="R74" s="29" t="str">
        <x:v>Barranquilla</x:v>
      </x:c>
      <x:c r="S74" s="29" t="str">
        <x:v>Colombia</x:v>
      </x:c>
      <x:c r="T74" s="29" t="str">
        <x:v>Felipe Mora</x:v>
      </x:c>
      <x:c r="U74" s="29" t="str">
        <x:v>Conciliado</x:v>
      </x:c>
      <x:c r="V74" s="28" t="n">
        <x:v>46062</x:v>
      </x:c>
      <x:c r="W74" s="31" t="n">
        <x:v>0</x:v>
      </x:c>
      <x:c r="X74" s="29" t="str">
        <x:v>Bajo</x:v>
      </x:c>
      <x:c r="Y74" s="29" t="str">
        <x:v>PSE</x:v>
      </x:c>
      <x:c r="Z74" s="29" t="str"/>
      <x:c r="AA74" s="29" t="str">
        <x:v>No</x:v>
      </x:c>
      <x:c r="AB74" s="32" t="str"/>
    </x:row>
    <x:row r="75">
      <x:c r="A75" s="27" t="str">
        <x:v>TRX-074</x:v>
      </x:c>
      <x:c r="B75" s="28" t="n">
        <x:v>46072</x:v>
      </x:c>
      <x:c r="C75" s="28" t="n">
        <x:v>46072</x:v>
      </x:c>
      <x:c r="D75" s="29" t="str">
        <x:v>EMP-001</x:v>
      </x:c>
      <x:c r="E75" s="29" t="str">
        <x:v>Nova Retail S.A.S.</x:v>
      </x:c>
      <x:c r="F75" s="29" t="str">
        <x:v>1001-884422</x:v>
      </x:c>
      <x:c r="G75" s="29" t="str">
        <x:v>Banco Pacifico</x:v>
      </x:c>
      <x:c r="H75" s="29" t="str">
        <x:v>Egreso</x:v>
      </x:c>
      <x:c r="I75" s="29" t="str">
        <x:v>Impuestos</x:v>
      </x:c>
      <x:c r="J75" s="29" t="str"/>
      <x:c r="K75" s="29" t="str">
        <x:v>PAG-20260074</x:v>
      </x:c>
      <x:c r="L75" s="29" t="str">
        <x:v>COP</x:v>
      </x:c>
      <x:c r="M75" s="30" t="n">
        <x:v>-5408042</x:v>
      </x:c>
      <x:c r="N75" s="30" t="n">
        <x:v>0</x:v>
      </x:c>
      <x:c r="O75" s="30" t="n">
        <x:v>-5408042</x:v>
      </x:c>
      <x:c r="P75" s="29" t="str">
        <x:v>Debito automatico</x:v>
      </x:c>
      <x:c r="Q75" s="29" t="str">
        <x:v>Operaciones</x:v>
      </x:c>
      <x:c r="R75" s="29" t="str">
        <x:v>Cartagena</x:v>
      </x:c>
      <x:c r="S75" s="29" t="str">
        <x:v>Colombia</x:v>
      </x:c>
      <x:c r="T75" s="29" t="str"/>
      <x:c r="U75" s="29" t="str">
        <x:v>Duplicado</x:v>
      </x:c>
      <x:c r="V75" s="28" t="n">
        <x:v>46070</x:v>
      </x:c>
      <x:c r="W75" s="31" t="n">
        <x:v>135</x:v>
      </x:c>
      <x:c r="X75" s="29" t="str">
        <x:v>Medio</x:v>
      </x:c>
      <x:c r="Y75" s="29" t="str">
        <x:v>Transferencia</x:v>
      </x:c>
      <x:c r="Z75" s="29" t="str"/>
      <x:c r="AA75" s="29" t="str">
        <x:v>Si</x:v>
      </x:c>
      <x:c r="AB75" s="32" t="str">
        <x:v>Conciliacion no cerrada</x:v>
      </x:c>
    </x:row>
    <x:row r="76">
      <x:c r="A76" s="27" t="str">
        <x:v>TRX-075</x:v>
      </x:c>
      <x:c r="B76" s="28" t="n">
        <x:v>46075</x:v>
      </x:c>
      <x:c r="C76" s="28" t="n">
        <x:v>46075</x:v>
      </x:c>
      <x:c r="D76" s="29" t="str">
        <x:v>EMP-002</x:v>
      </x:c>
      <x:c r="E76" s="29" t="str">
        <x:v>Logistica Prisma Ltda.</x:v>
      </x:c>
      <x:c r="F76" s="29" t="str">
        <x:v>1002-553311</x:v>
      </x:c>
      <x:c r="G76" s="29" t="str">
        <x:v>Banco Nacional</x:v>
      </x:c>
      <x:c r="H76" s="29" t="str">
        <x:v>Ingreso</x:v>
      </x:c>
      <x:c r="I76" s="29" t="str">
        <x:v>Venta nacional</x:v>
      </x:c>
      <x:c r="J76" s="29" t="str">
        <x:v>Cliente Norte S.A.</x:v>
      </x:c>
      <x:c r="K76" s="29" t="str">
        <x:v>FAC-20260075</x:v>
      </x:c>
      <x:c r="L76" s="29" t="str">
        <x:v>COP</x:v>
      </x:c>
      <x:c r="M76" s="30" t="n">
        <x:v>5479975</x:v>
      </x:c>
      <x:c r="N76" s="30" t="n">
        <x:v>1041195.25</x:v>
      </x:c>
      <x:c r="O76" s="30" t="n">
        <x:v>6521170.25</x:v>
      </x:c>
      <x:c r="P76" s="29" t="str">
        <x:v>ACH</x:v>
      </x:c>
      <x:c r="Q76" s="29" t="str">
        <x:v>Tecnologia</x:v>
      </x:c>
      <x:c r="R76" s="29" t="str">
        <x:v>Bogota</x:v>
      </x:c>
      <x:c r="S76" s="29" t="str">
        <x:v>Colombia</x:v>
      </x:c>
      <x:c r="T76" s="29" t="str">
        <x:v>Ana Ruiz</x:v>
      </x:c>
      <x:c r="U76" s="29" t="str">
        <x:v>Conciliado</x:v>
      </x:c>
      <x:c r="V76" s="28" t="n">
        <x:v>46078</x:v>
      </x:c>
      <x:c r="W76" s="31" t="n">
        <x:v>0</x:v>
      </x:c>
      <x:c r="X76" s="29" t="str">
        <x:v>Bajo</x:v>
      </x:c>
      <x:c r="Y76" s="29" t="str">
        <x:v>Tarjeta</x:v>
      </x:c>
      <x:c r="Z76" s="29" t="str"/>
      <x:c r="AA76" s="29" t="str">
        <x:v>No</x:v>
      </x:c>
      <x:c r="AB76" s="32" t="str"/>
    </x:row>
    <x:row r="77">
      <x:c r="A77" s="27" t="str">
        <x:v>TRX-076</x:v>
      </x:c>
      <x:c r="B77" s="28" t="n">
        <x:v>46078</x:v>
      </x:c>
      <x:c r="C77" s="28" t="n">
        <x:v>46079</x:v>
      </x:c>
      <x:c r="D77" s="29" t="str">
        <x:v>EMP-003</x:v>
      </x:c>
      <x:c r="E77" s="29" t="str">
        <x:v>Insumos Horizonte S.A.</x:v>
      </x:c>
      <x:c r="F77" s="29" t="str">
        <x:v>1003-902244</x:v>
      </x:c>
      <x:c r="G77" s="29" t="str">
        <x:v>Banco Andino</x:v>
      </x:c>
      <x:c r="H77" s="29" t="str">
        <x:v>Egreso</x:v>
      </x:c>
      <x:c r="I77" s="29" t="str">
        <x:v>Arriendo</x:v>
      </x:c>
      <x:c r="J77" s="29" t="str">
        <x:v>Distribuidora Delta</x:v>
      </x:c>
      <x:c r="K77" s="29" t="str">
        <x:v>PAG-20260076</x:v>
      </x:c>
      <x:c r="L77" s="29" t="str">
        <x:v>COP</x:v>
      </x:c>
      <x:c r="M77" s="30" t="n">
        <x:v>-5551908</x:v>
      </x:c>
      <x:c r="N77" s="30" t="n">
        <x:v>-1054862.52</x:v>
      </x:c>
      <x:c r="O77" s="30" t="n">
        <x:v>-6606770.52</x:v>
      </x:c>
      <x:c r="P77" s="29" t="str">
        <x:v>Transferencia local</x:v>
      </x:c>
      <x:c r="Q77" s="29" t="str">
        <x:v>Finanzas</x:v>
      </x:c>
      <x:c r="R77" s="29" t="str">
        <x:v>Medellin</x:v>
      </x:c>
      <x:c r="S77" s="29" t="str">
        <x:v>Colombia</x:v>
      </x:c>
      <x:c r="T77" s="29" t="str">
        <x:v>Carlos Pena</x:v>
      </x:c>
      <x:c r="U77" s="29" t="str">
        <x:v>Rechazado</x:v>
      </x:c>
      <x:c r="V77" s="28" t="n">
        <x:v>46086</x:v>
      </x:c>
      <x:c r="W77" s="31" t="n">
        <x:v>119</x:v>
      </x:c>
      <x:c r="X77" s="29" t="str">
        <x:v>Medio</x:v>
      </x:c>
      <x:c r="Y77" s="29" t="str">
        <x:v>Debito automatico</x:v>
      </x:c>
      <x:c r="Z77" s="29" t="str"/>
      <x:c r="AA77" s="29" t="str">
        <x:v>Si</x:v>
      </x:c>
      <x:c r="AB77" s="32" t="str">
        <x:v>Conciliacion no cerrada</x:v>
      </x:c>
    </x:row>
    <x:row r="78">
      <x:c r="A78" s="27" t="str">
        <x:v>TRX-077</x:v>
      </x:c>
      <x:c r="B78" s="28" t="n">
        <x:v>46081</x:v>
      </x:c>
      <x:c r="C78" s="28" t="n">
        <x:v>46081</x:v>
      </x:c>
      <x:c r="D78" s="29" t="str">
        <x:v>EMP-002</x:v>
      </x:c>
      <x:c r="E78" s="29" t="str">
        <x:v>Logistica Prisma Ltda.</x:v>
      </x:c>
      <x:c r="F78" s="29" t="str">
        <x:v>1002-553311</x:v>
      </x:c>
      <x:c r="G78" s="29" t="str">
        <x:v>Banco Capital</x:v>
      </x:c>
      <x:c r="H78" s="29" t="str">
        <x:v>Ingreso</x:v>
      </x:c>
      <x:c r="I78" s="29" t="str">
        <x:v>Credito bancario</x:v>
      </x:c>
      <x:c r="J78" s="29" t="str">
        <x:v>Proveedor Alfa</x:v>
      </x:c>
      <x:c r="K78" s="29" t="str">
        <x:v>FAC-20260077</x:v>
      </x:c>
      <x:c r="L78" s="29" t="str">
        <x:v>COP</x:v>
      </x:c>
      <x:c r="M78" s="30" t="n">
        <x:v>5623841</x:v>
      </x:c>
      <x:c r="N78" s="30" t="n">
        <x:v>0</x:v>
      </x:c>
      <x:c r="O78" s="30" t="n">
        <x:v>5623841</x:v>
      </x:c>
      <x:c r="P78" s="29" t="str">
        <x:v>Tarjeta credito</x:v>
      </x:c>
      <x:c r="Q78" s="29" t="str"/>
      <x:c r="R78" s="29" t="str">
        <x:v>Cali</x:v>
      </x:c>
      <x:c r="S78" s="29" t="str">
        <x:v>Colombia</x:v>
      </x:c>
      <x:c r="T78" s="29" t="str">
        <x:v>Diana Torres</x:v>
      </x:c>
      <x:c r="U78" s="29" t="str">
        <x:v>Conciliado</x:v>
      </x:c>
      <x:c r="V78" s="28" t="n">
        <x:v>46094</x:v>
      </x:c>
      <x:c r="W78" s="31" t="n">
        <x:v>0</x:v>
      </x:c>
      <x:c r="X78" s="29" t="str">
        <x:v>Bajo</x:v>
      </x:c>
      <x:c r="Y78" s="29" t="str">
        <x:v>Caja</x:v>
      </x:c>
      <x:c r="Z78" s="29" t="str"/>
      <x:c r="AA78" s="29" t="str">
        <x:v>No</x:v>
      </x:c>
      <x:c r="AB78" s="32" t="str"/>
    </x:row>
    <x:row r="79">
      <x:c r="A79" s="27" t="str">
        <x:v>TRX-078</x:v>
      </x:c>
      <x:c r="B79" s="28" t="n">
        <x:v>46084</x:v>
      </x:c>
      <x:c r="C79" s="28" t="n">
        <x:v>46087</x:v>
      </x:c>
      <x:c r="D79" s="29" t="str">
        <x:v>EMP-003</x:v>
      </x:c>
      <x:c r="E79" s="29" t="str">
        <x:v>Insumos Horizonte S.A.</x:v>
      </x:c>
      <x:c r="F79" s="29" t="str">
        <x:v>1003-902244</x:v>
      </x:c>
      <x:c r="G79" s="29" t="str">
        <x:v>Banco Pacifico</x:v>
      </x:c>
      <x:c r="H79" s="29" t="str">
        <x:v>Egreso</x:v>
      </x:c>
      <x:c r="I79" s="29" t="str">
        <x:v>Comision bancaria</x:v>
      </x:c>
      <x:c r="J79" s="29" t="str">
        <x:v>Servicios Beta</x:v>
      </x:c>
      <x:c r="K79" s="29" t="str">
        <x:v>PAG-20260078</x:v>
      </x:c>
      <x:c r="L79" s="29" t="str">
        <x:v>COP</x:v>
      </x:c>
      <x:c r="M79" s="30" t="n">
        <x:v>-5695774</x:v>
      </x:c>
      <x:c r="N79" s="30" t="n">
        <x:v>0</x:v>
      </x:c>
      <x:c r="O79" s="30" t="n">
        <x:v>-5695774</x:v>
      </x:c>
      <x:c r="P79" s="29" t="str">
        <x:v>Cheque</x:v>
      </x:c>
      <x:c r="Q79" s="29" t="str">
        <x:v>Administracion</x:v>
      </x:c>
      <x:c r="R79" s="29" t="str">
        <x:v>Barranquilla</x:v>
      </x:c>
      <x:c r="S79" s="29" t="str">
        <x:v>Colombia</x:v>
      </x:c>
      <x:c r="T79" s="29" t="str">
        <x:v>Felipe Mora</x:v>
      </x:c>
      <x:c r="U79" s="29" t="str">
        <x:v>Diferencia</x:v>
      </x:c>
      <x:c r="V79" s="28" t="n">
        <x:v>46102</x:v>
      </x:c>
      <x:c r="W79" s="31" t="n">
        <x:v>103</x:v>
      </x:c>
      <x:c r="X79" s="29" t="str">
        <x:v>Medio</x:v>
      </x:c>
      <x:c r="Y79" s="29" t="str">
        <x:v>Portal bancario</x:v>
      </x:c>
      <x:c r="Z79" s="29" t="str"/>
      <x:c r="AA79" s="29" t="str">
        <x:v>Si</x:v>
      </x:c>
      <x:c r="AB79" s="32" t="str">
        <x:v>Conciliacion no cerrada</x:v>
      </x:c>
    </x:row>
    <x:row r="80">
      <x:c r="A80" s="27" t="str">
        <x:v>TRX-079</x:v>
      </x:c>
      <x:c r="B80" s="28" t="n">
        <x:v>46087</x:v>
      </x:c>
      <x:c r="C80" s="28" t="n">
        <x:v>46087</x:v>
      </x:c>
      <x:c r="D80" s="29" t="str">
        <x:v>EMP-001</x:v>
      </x:c>
      <x:c r="E80" s="29" t="str">
        <x:v>Nova Retail S.A.S.</x:v>
      </x:c>
      <x:c r="F80" s="29" t="str">
        <x:v>1001-884422</x:v>
      </x:c>
      <x:c r="G80" s="29" t="str">
        <x:v>Banco Nacional</x:v>
      </x:c>
      <x:c r="H80" s="29" t="str">
        <x:v>Egreso</x:v>
      </x:c>
      <x:c r="I80" s="29" t="str">
        <x:v>Credito bancario</x:v>
      </x:c>
      <x:c r="J80" s="29" t="str">
        <x:v>Aduanas Global</x:v>
      </x:c>
      <x:c r="K80" s="29" t="str">
        <x:v>PAG-20260079</x:v>
      </x:c>
      <x:c r="L80" s="29" t="str">
        <x:v>COP</x:v>
      </x:c>
      <x:c r="M80" s="30" t="n">
        <x:v>-5767707</x:v>
      </x:c>
      <x:c r="N80" s="30" t="n">
        <x:v>0</x:v>
      </x:c>
      <x:c r="O80" s="30" t="n">
        <x:v>-5767707</x:v>
      </x:c>
      <x:c r="P80" s="29" t="str">
        <x:v>Debito automatico</x:v>
      </x:c>
      <x:c r="Q80" s="29" t="str">
        <x:v>Comercial</x:v>
      </x:c>
      <x:c r="R80" s="29" t="str">
        <x:v>Cartagena</x:v>
      </x:c>
      <x:c r="S80" s="29" t="str">
        <x:v>Colombia</x:v>
      </x:c>
      <x:c r="T80" s="29" t="str"/>
      <x:c r="U80" s="29" t="str">
        <x:v>Conciliado</x:v>
      </x:c>
      <x:c r="V80" s="28" t="n">
        <x:v>46110</x:v>
      </x:c>
      <x:c r="W80" s="31" t="n">
        <x:v>0</x:v>
      </x:c>
      <x:c r="X80" s="29" t="str">
        <x:v>Bajo</x:v>
      </x:c>
      <x:c r="Y80" s="29" t="str">
        <x:v>PSE</x:v>
      </x:c>
      <x:c r="Z80" s="29" t="str"/>
      <x:c r="AA80" s="29" t="str">
        <x:v>No</x:v>
      </x:c>
      <x:c r="AB80" s="32" t="str"/>
    </x:row>
    <x:row r="81">
      <x:c r="A81" s="27" t="str">
        <x:v>TRX-080</x:v>
      </x:c>
      <x:c r="B81" s="28" t="n">
        <x:v>46090</x:v>
      </x:c>
      <x:c r="C81" s="28" t="n">
        <x:v>46091</x:v>
      </x:c>
      <x:c r="D81" s="29" t="str">
        <x:v>EMP-002</x:v>
      </x:c>
      <x:c r="E81" s="29" t="str">
        <x:v>Logistica Prisma Ltda.</x:v>
      </x:c>
      <x:c r="F81" s="29" t="str">
        <x:v>1002-553311</x:v>
      </x:c>
      <x:c r="G81" s="29" t="str">
        <x:v>Banco Andino</x:v>
      </x:c>
      <x:c r="H81" s="29" t="str">
        <x:v>Ingreso</x:v>
      </x:c>
      <x:c r="I81" s="29" t="str">
        <x:v>Credito bancario</x:v>
      </x:c>
      <x:c r="J81" s="29" t="str">
        <x:v>Energia Urbana</x:v>
      </x:c>
      <x:c r="K81" s="29" t="str">
        <x:v>FAC-20260080</x:v>
      </x:c>
      <x:c r="L81" s="29" t="str">
        <x:v>COP</x:v>
      </x:c>
      <x:c r="M81" s="30" t="n">
        <x:v>5839640</x:v>
      </x:c>
      <x:c r="N81" s="30" t="n">
        <x:v>0</x:v>
      </x:c>
      <x:c r="O81" s="30" t="n">
        <x:v>5839640</x:v>
      </x:c>
      <x:c r="P81" s="29" t="str">
        <x:v>ACH</x:v>
      </x:c>
      <x:c r="Q81" s="29" t="str">
        <x:v>Operaciones</x:v>
      </x:c>
      <x:c r="R81" s="29" t="str">
        <x:v>Bogota</x:v>
      </x:c>
      <x:c r="S81" s="29" t="str">
        <x:v>Colombia</x:v>
      </x:c>
      <x:c r="T81" s="29" t="str">
        <x:v>Ana Ruiz</x:v>
      </x:c>
      <x:c r="U81" s="29" t="str">
        <x:v>Pendiente</x:v>
      </x:c>
      <x:c r="V81" s="28" t="n">
        <x:v>46118</x:v>
      </x:c>
      <x:c r="W81" s="31" t="n">
        <x:v>87</x:v>
      </x:c>
      <x:c r="X81" s="29" t="str">
        <x:v>Medio</x:v>
      </x:c>
      <x:c r="Y81" s="29" t="str">
        <x:v>Transferencia</x:v>
      </x:c>
      <x:c r="Z81" s="29" t="str"/>
      <x:c r="AA81" s="29" t="str">
        <x:v>Si</x:v>
      </x:c>
      <x:c r="AB81" s="32" t="str">
        <x:v>Conciliacion no cerrada</x:v>
      </x:c>
    </x:row>
    <x:row r="82">
      <x:c r="A82" s="27" t="str">
        <x:v>TRX-081</x:v>
      </x:c>
      <x:c r="B82" s="28" t="n">
        <x:v>46093</x:v>
      </x:c>
      <x:c r="C82" s="28" t="n">
        <x:v>46093</x:v>
      </x:c>
      <x:c r="D82" s="29" t="str">
        <x:v>EMP-003</x:v>
      </x:c>
      <x:c r="E82" s="29" t="str">
        <x:v>Insumos Horizonte S.A.</x:v>
      </x:c>
      <x:c r="F82" s="29" t="str">
        <x:v>1003-902244</x:v>
      </x:c>
      <x:c r="G82" s="29" t="str">
        <x:v>Banco Capital</x:v>
      </x:c>
      <x:c r="H82" s="29" t="str">
        <x:v>Egreso</x:v>
      </x:c>
      <x:c r="I82" s="29" t="str">
        <x:v>Nomina</x:v>
      </x:c>
      <x:c r="J82" s="29" t="str">
        <x:v>Talento Humano</x:v>
      </x:c>
      <x:c r="K82" s="29" t="str">
        <x:v>NOM-20260081</x:v>
      </x:c>
      <x:c r="L82" s="29" t="str">
        <x:v>COP</x:v>
      </x:c>
      <x:c r="M82" s="30" t="n">
        <x:v>-5911573</x:v>
      </x:c>
      <x:c r="N82" s="30" t="n">
        <x:v>0</x:v>
      </x:c>
      <x:c r="O82" s="30" t="n">
        <x:v>-5911573</x:v>
      </x:c>
      <x:c r="P82" s="29" t="str">
        <x:v>Transferencia local</x:v>
      </x:c>
      <x:c r="Q82" s="29" t="str">
        <x:v>Tecnologia</x:v>
      </x:c>
      <x:c r="R82" s="29" t="str">
        <x:v>Medellin</x:v>
      </x:c>
      <x:c r="S82" s="29" t="str">
        <x:v>Colombia</x:v>
      </x:c>
      <x:c r="T82" s="29" t="str">
        <x:v>Carlos Pena</x:v>
      </x:c>
      <x:c r="U82" s="29" t="str">
        <x:v>Conciliado</x:v>
      </x:c>
      <x:c r="V82" s="28" t="n">
        <x:v>46081</x:v>
      </x:c>
      <x:c r="W82" s="31" t="n">
        <x:v>0</x:v>
      </x:c>
      <x:c r="X82" s="29" t="str">
        <x:v>Bajo</x:v>
      </x:c>
      <x:c r="Y82" s="29" t="str">
        <x:v>Tarjeta</x:v>
      </x:c>
      <x:c r="Z82" s="29" t="str"/>
      <x:c r="AA82" s="29" t="str">
        <x:v>No</x:v>
      </x:c>
      <x:c r="AB82" s="32" t="str"/>
    </x:row>
    <x:row r="83">
      <x:c r="A83" s="27" t="str">
        <x:v>TRX-082</x:v>
      </x:c>
      <x:c r="B83" s="28" t="n">
        <x:v>46096</x:v>
      </x:c>
      <x:c r="C83" s="28" t="n">
        <x:v>46096</x:v>
      </x:c>
      <x:c r="D83" s="29" t="str">
        <x:v>EMP-001</x:v>
      </x:c>
      <x:c r="E83" s="29" t="str">
        <x:v>Nova Retail S.A.S.</x:v>
      </x:c>
      <x:c r="F83" s="29" t="str">
        <x:v>1001-884422</x:v>
      </x:c>
      <x:c r="G83" s="29" t="str">
        <x:v>Banco Pacifico</x:v>
      </x:c>
      <x:c r="H83" s="29" t="str">
        <x:v>Egreso</x:v>
      </x:c>
      <x:c r="I83" s="29" t="str">
        <x:v>Impuestos</x:v>
      </x:c>
      <x:c r="J83" s="29" t="str">
        <x:v>Arrendadora Centro</x:v>
      </x:c>
      <x:c r="K83" s="29" t="str">
        <x:v>PAG-20260082</x:v>
      </x:c>
      <x:c r="L83" s="29" t="str">
        <x:v>USD</x:v>
      </x:c>
      <x:c r="M83" s="30" t="n">
        <x:v>-5983506</x:v>
      </x:c>
      <x:c r="N83" s="30" t="n">
        <x:v>0</x:v>
      </x:c>
      <x:c r="O83" s="30" t="n">
        <x:v>-5983506</x:v>
      </x:c>
      <x:c r="P83" s="29" t="str">
        <x:v>Tarjeta credito</x:v>
      </x:c>
      <x:c r="Q83" s="29" t="str">
        <x:v>Finanzas</x:v>
      </x:c>
      <x:c r="R83" s="29" t="str">
        <x:v>Cali</x:v>
      </x:c>
      <x:c r="S83" s="29" t="str">
        <x:v>Colombia</x:v>
      </x:c>
      <x:c r="T83" s="29" t="str">
        <x:v>Diana Torres</x:v>
      </x:c>
      <x:c r="U83" s="29" t="str">
        <x:v>Conciliado</x:v>
      </x:c>
      <x:c r="V83" s="28" t="n">
        <x:v>46089</x:v>
      </x:c>
      <x:c r="W83" s="31" t="n">
        <x:v>0</x:v>
      </x:c>
      <x:c r="X83" s="29" t="str">
        <x:v>Bajo</x:v>
      </x:c>
      <x:c r="Y83" s="29" t="str">
        <x:v>Debito automatico</x:v>
      </x:c>
      <x:c r="Z83" s="29" t="str"/>
      <x:c r="AA83" s="29" t="str">
        <x:v>No</x:v>
      </x:c>
      <x:c r="AB83" s="32" t="str"/>
    </x:row>
    <x:row r="84">
      <x:c r="A84" s="27" t="str">
        <x:v>TRX-083</x:v>
      </x:c>
      <x:c r="B84" s="28" t="n">
        <x:v>46099</x:v>
      </x:c>
      <x:c r="C84" s="28" t="n">
        <x:v>46099</x:v>
      </x:c>
      <x:c r="D84" s="29" t="str">
        <x:v>EMP-002</x:v>
      </x:c>
      <x:c r="E84" s="29" t="str">
        <x:v>Logistica Prisma Ltda.</x:v>
      </x:c>
      <x:c r="F84" s="29" t="str">
        <x:v>1002-553311</x:v>
      </x:c>
      <x:c r="G84" s="29" t="str">
        <x:v>Banco Nacional</x:v>
      </x:c>
      <x:c r="H84" s="29" t="str">
        <x:v>Egreso</x:v>
      </x:c>
      <x:c r="I84" s="29" t="str">
        <x:v>Servicios publicos</x:v>
      </x:c>
      <x:c r="J84" s="29" t="str">
        <x:v>Financiera Sur</x:v>
      </x:c>
      <x:c r="K84" s="29" t="str">
        <x:v>PAG-20260083</x:v>
      </x:c>
      <x:c r="L84" s="29" t="str">
        <x:v>COP</x:v>
      </x:c>
      <x:c r="M84" s="30" t="n">
        <x:v>-6055439</x:v>
      </x:c>
      <x:c r="N84" s="30" t="n">
        <x:v>-1150533.41</x:v>
      </x:c>
      <x:c r="O84" s="30" t="n">
        <x:v>-7205972.41</x:v>
      </x:c>
      <x:c r="P84" s="29" t="str">
        <x:v>Cheque</x:v>
      </x:c>
      <x:c r="Q84" s="29" t="str"/>
      <x:c r="R84" s="29" t="str">
        <x:v>Barranquilla</x:v>
      </x:c>
      <x:c r="S84" s="29" t="str">
        <x:v>Colombia</x:v>
      </x:c>
      <x:c r="T84" s="29" t="str">
        <x:v>Felipe Mora</x:v>
      </x:c>
      <x:c r="U84" s="29" t="str">
        <x:v>Conciliado</x:v>
      </x:c>
      <x:c r="V84" s="28" t="n">
        <x:v>46097</x:v>
      </x:c>
      <x:c r="W84" s="31" t="n">
        <x:v>0</x:v>
      </x:c>
      <x:c r="X84" s="29" t="str">
        <x:v>Bajo</x:v>
      </x:c>
      <x:c r="Y84" s="29" t="str">
        <x:v>Caja</x:v>
      </x:c>
      <x:c r="Z84" s="29" t="str"/>
      <x:c r="AA84" s="29" t="str">
        <x:v>No</x:v>
      </x:c>
      <x:c r="AB84" s="32" t="str"/>
    </x:row>
    <x:row r="85">
      <x:c r="A85" s="27" t="str">
        <x:v>TRX-084</x:v>
      </x:c>
      <x:c r="B85" s="28" t="n">
        <x:v>46102</x:v>
      </x:c>
      <x:c r="C85" s="28" t="n">
        <x:v>46105</x:v>
      </x:c>
      <x:c r="D85" s="29" t="str">
        <x:v>EMP-001</x:v>
      </x:c>
      <x:c r="E85" s="29" t="str">
        <x:v>Nova Retail S.A.S.</x:v>
      </x:c>
      <x:c r="F85" s="29" t="str">
        <x:v>1001-884422</x:v>
      </x:c>
      <x:c r="G85" s="29" t="str">
        <x:v>Banco Andino</x:v>
      </x:c>
      <x:c r="H85" s="29" t="str">
        <x:v>Ingreso</x:v>
      </x:c>
      <x:c r="I85" s="29" t="str">
        <x:v>Venta nacional</x:v>
      </x:c>
      <x:c r="J85" s="29" t="str">
        <x:v>Cliente Express</x:v>
      </x:c>
      <x:c r="K85" s="29" t="str">
        <x:v>FAC-20260084</x:v>
      </x:c>
      <x:c r="L85" s="29" t="str">
        <x:v>COP</x:v>
      </x:c>
      <x:c r="M85" s="30" t="n">
        <x:v>6127372</x:v>
      </x:c>
      <x:c r="N85" s="30" t="n">
        <x:v>1164200.68</x:v>
      </x:c>
      <x:c r="O85" s="30" t="n">
        <x:v>7291572.68</x:v>
      </x:c>
      <x:c r="P85" s="29" t="str">
        <x:v>Debito automatico</x:v>
      </x:c>
      <x:c r="Q85" s="29" t="str">
        <x:v>Administracion</x:v>
      </x:c>
      <x:c r="R85" s="29" t="str">
        <x:v>Cartagena</x:v>
      </x:c>
      <x:c r="S85" s="29" t="str">
        <x:v>Colombia</x:v>
      </x:c>
      <x:c r="T85" s="29" t="str"/>
      <x:c r="U85" s="29" t="str">
        <x:v>Pendiente</x:v>
      </x:c>
      <x:c r="V85" s="28" t="n">
        <x:v>46105</x:v>
      </x:c>
      <x:c r="W85" s="31" t="n">
        <x:v>100</x:v>
      </x:c>
      <x:c r="X85" s="29" t="str">
        <x:v>Medio</x:v>
      </x:c>
      <x:c r="Y85" s="29" t="str">
        <x:v>Portal bancario</x:v>
      </x:c>
      <x:c r="Z85" s="29" t="str"/>
      <x:c r="AA85" s="29" t="str">
        <x:v>Si</x:v>
      </x:c>
      <x:c r="AB85" s="32" t="str">
        <x:v>Conciliacion no cerrada</x:v>
      </x:c>
    </x:row>
    <x:row r="86">
      <x:c r="A86" s="27" t="str">
        <x:v>TRX-085</x:v>
      </x:c>
      <x:c r="B86" s="28" t="n">
        <x:v>46105</x:v>
      </x:c>
      <x:c r="C86" s="28" t="n">
        <x:v>46105</x:v>
      </x:c>
      <x:c r="D86" s="29" t="str">
        <x:v>EMP-002</x:v>
      </x:c>
      <x:c r="E86" s="29" t="str">
        <x:v>Logistica Prisma Ltda.</x:v>
      </x:c>
      <x:c r="F86" s="29" t="str">
        <x:v>1002-553311</x:v>
      </x:c>
      <x:c r="G86" s="29" t="str">
        <x:v>Banco Capital</x:v>
      </x:c>
      <x:c r="H86" s="29" t="str">
        <x:v>Ingreso</x:v>
      </x:c>
      <x:c r="I86" s="29" t="str">
        <x:v>Venta internacional</x:v>
      </x:c>
      <x:c r="J86" s="29" t="str"/>
      <x:c r="K86" s="29" t="str">
        <x:v>FAC-20260085</x:v>
      </x:c>
      <x:c r="L86" s="29" t="str">
        <x:v>COP</x:v>
      </x:c>
      <x:c r="M86" s="30" t="n">
        <x:v>6199305</x:v>
      </x:c>
      <x:c r="N86" s="30" t="n">
        <x:v>0</x:v>
      </x:c>
      <x:c r="O86" s="30" t="n">
        <x:v>6199305</x:v>
      </x:c>
      <x:c r="P86" s="29" t="str">
        <x:v>ACH</x:v>
      </x:c>
      <x:c r="Q86" s="29" t="str">
        <x:v>Comercial</x:v>
      </x:c>
      <x:c r="R86" s="29" t="str">
        <x:v>Bogota</x:v>
      </x:c>
      <x:c r="S86" s="29" t="str">
        <x:v>Colombia</x:v>
      </x:c>
      <x:c r="T86" s="29" t="str">
        <x:v>Ana Ruiz</x:v>
      </x:c>
      <x:c r="U86" s="29" t="str">
        <x:v>Conciliado</x:v>
      </x:c>
      <x:c r="V86" s="28" t="n">
        <x:v>46113</x:v>
      </x:c>
      <x:c r="W86" s="31" t="n">
        <x:v>0</x:v>
      </x:c>
      <x:c r="X86" s="29" t="str">
        <x:v>Bajo</x:v>
      </x:c>
      <x:c r="Y86" s="29" t="str">
        <x:v>PSE</x:v>
      </x:c>
      <x:c r="Z86" s="29" t="str">
        <x:v>Valor reportado por banco no coincide con ERP</x:v>
      </x:c>
      <x:c r="AA86" s="29" t="str">
        <x:v>No</x:v>
      </x:c>
      <x:c r="AB86" s="32" t="str"/>
    </x:row>
    <x:row r="87">
      <x:c r="A87" s="27" t="str">
        <x:v>TRX-086</x:v>
      </x:c>
      <x:c r="B87" s="28" t="n">
        <x:v>46108</x:v>
      </x:c>
      <x:c r="C87" s="28" t="n">
        <x:v>46108</x:v>
      </x:c>
      <x:c r="D87" s="29" t="str">
        <x:v>EMP-003</x:v>
      </x:c>
      <x:c r="E87" s="29" t="str">
        <x:v>Insumos Horizonte S.A.</x:v>
      </x:c>
      <x:c r="F87" s="29" t="str">
        <x:v>1003-902244</x:v>
      </x:c>
      <x:c r="G87" s="29" t="str">
        <x:v>Banco Pacifico</x:v>
      </x:c>
      <x:c r="H87" s="29" t="str">
        <x:v>Egreso</x:v>
      </x:c>
      <x:c r="I87" s="29" t="str">
        <x:v>Comision bancaria</x:v>
      </x:c>
      <x:c r="J87" s="29" t="str">
        <x:v>Cliente Norte S.A.</x:v>
      </x:c>
      <x:c r="K87" s="29" t="str">
        <x:v>PAG-20260086</x:v>
      </x:c>
      <x:c r="L87" s="29" t="str">
        <x:v>COP</x:v>
      </x:c>
      <x:c r="M87" s="30" t="n">
        <x:v>-6271238</x:v>
      </x:c>
      <x:c r="N87" s="30" t="n">
        <x:v>0</x:v>
      </x:c>
      <x:c r="O87" s="30" t="n">
        <x:v>-6271238</x:v>
      </x:c>
      <x:c r="P87" s="29" t="str">
        <x:v>Transferencia local</x:v>
      </x:c>
      <x:c r="Q87" s="29" t="str">
        <x:v>Operaciones</x:v>
      </x:c>
      <x:c r="R87" s="29" t="str">
        <x:v>Medellin</x:v>
      </x:c>
      <x:c r="S87" s="29" t="str">
        <x:v>Colombia</x:v>
      </x:c>
      <x:c r="T87" s="29" t="str">
        <x:v>Carlos Pena</x:v>
      </x:c>
      <x:c r="U87" s="29" t="str">
        <x:v>Conciliado</x:v>
      </x:c>
      <x:c r="V87" s="28" t="n">
        <x:v>46121</x:v>
      </x:c>
      <x:c r="W87" s="31" t="n">
        <x:v>0</x:v>
      </x:c>
      <x:c r="X87" s="29" t="str">
        <x:v>Bajo</x:v>
      </x:c>
      <x:c r="Y87" s="29" t="str">
        <x:v>Transferencia</x:v>
      </x:c>
      <x:c r="Z87" s="29" t="str"/>
      <x:c r="AA87" s="29" t="str">
        <x:v>No</x:v>
      </x:c>
      <x:c r="AB87" s="32" t="str"/>
    </x:row>
    <x:row r="88">
      <x:c r="A88" s="27" t="str">
        <x:v>TRX-087</x:v>
      </x:c>
      <x:c r="B88" s="28" t="n">
        <x:v>46111</x:v>
      </x:c>
      <x:c r="C88" s="28" t="n">
        <x:v>46111</x:v>
      </x:c>
      <x:c r="D88" s="29" t="str">
        <x:v>EMP-001</x:v>
      </x:c>
      <x:c r="E88" s="29" t="str">
        <x:v>Nova Retail S.A.S.</x:v>
      </x:c>
      <x:c r="F88" s="29" t="str">
        <x:v>1001-884422</x:v>
      </x:c>
      <x:c r="G88" s="29" t="str">
        <x:v>Banco Nacional</x:v>
      </x:c>
      <x:c r="H88" s="29" t="str">
        <x:v>Egreso</x:v>
      </x:c>
      <x:c r="I88" s="29" t="str">
        <x:v>Credito bancario</x:v>
      </x:c>
      <x:c r="J88" s="29" t="str">
        <x:v>Distribuidora Delta</x:v>
      </x:c>
      <x:c r="K88" s="29" t="str">
        <x:v>PAG-20260087</x:v>
      </x:c>
      <x:c r="L88" s="29" t="str">
        <x:v>COP</x:v>
      </x:c>
      <x:c r="M88" s="30" t="n">
        <x:v>-6343171</x:v>
      </x:c>
      <x:c r="N88" s="30" t="n">
        <x:v>0</x:v>
      </x:c>
      <x:c r="O88" s="30" t="n">
        <x:v>-6343171</x:v>
      </x:c>
      <x:c r="P88" s="29" t="str">
        <x:v>Tarjeta credito</x:v>
      </x:c>
      <x:c r="Q88" s="29" t="str">
        <x:v>Tecnologia</x:v>
      </x:c>
      <x:c r="R88" s="29" t="str">
        <x:v>Cali</x:v>
      </x:c>
      <x:c r="S88" s="29" t="str">
        <x:v>Colombia</x:v>
      </x:c>
      <x:c r="T88" s="29" t="str"/>
      <x:c r="U88" s="29" t="str">
        <x:v>Conciliado</x:v>
      </x:c>
      <x:c r="V88" s="28" t="n">
        <x:v>46129</x:v>
      </x:c>
      <x:c r="W88" s="31" t="n">
        <x:v>0</x:v>
      </x:c>
      <x:c r="X88" s="29" t="str">
        <x:v>Bajo</x:v>
      </x:c>
      <x:c r="Y88" s="29" t="str">
        <x:v>Tarjeta</x:v>
      </x:c>
      <x:c r="Z88" s="29" t="str"/>
      <x:c r="AA88" s="29" t="str">
        <x:v>Si</x:v>
      </x:c>
      <x:c r="AB88" s="32" t="str">
        <x:v>Responsable vacio</x:v>
      </x:c>
    </x:row>
    <x:row r="89">
      <x:c r="A89" s="27" t="str">
        <x:v>TRX-088</x:v>
      </x:c>
      <x:c r="B89" s="28" t="n">
        <x:v>46114</x:v>
      </x:c>
      <x:c r="C89" s="28" t="n">
        <x:v>46115</x:v>
      </x:c>
      <x:c r="D89" s="29" t="str">
        <x:v>EMP-002</x:v>
      </x:c>
      <x:c r="E89" s="29" t="str">
        <x:v>Logistica Prisma Ltda.</x:v>
      </x:c>
      <x:c r="F89" s="29" t="str">
        <x:v>1002-553311</x:v>
      </x:c>
      <x:c r="G89" s="29" t="str">
        <x:v>Banco Andino</x:v>
      </x:c>
      <x:c r="H89" s="29" t="str">
        <x:v>Ingreso</x:v>
      </x:c>
      <x:c r="I89" s="29" t="str">
        <x:v>Venta internacional</x:v>
      </x:c>
      <x:c r="J89" s="29" t="str">
        <x:v>Proveedor Alfa</x:v>
      </x:c>
      <x:c r="K89" s="29" t="str">
        <x:v>FAC-20260088</x:v>
      </x:c>
      <x:c r="L89" s="29" t="str">
        <x:v>COP</x:v>
      </x:c>
      <x:c r="M89" s="30" t="n">
        <x:v>6415104</x:v>
      </x:c>
      <x:c r="N89" s="30" t="n">
        <x:v>0</x:v>
      </x:c>
      <x:c r="O89" s="30" t="n">
        <x:v>6415104</x:v>
      </x:c>
      <x:c r="P89" s="29" t="str">
        <x:v>Cheque</x:v>
      </x:c>
      <x:c r="Q89" s="29" t="str">
        <x:v>Finanzas</x:v>
      </x:c>
      <x:c r="R89" s="29" t="str">
        <x:v>Barranquilla</x:v>
      </x:c>
      <x:c r="S89" s="29" t="str">
        <x:v>Colombia</x:v>
      </x:c>
      <x:c r="T89" s="29" t="str">
        <x:v>Felipe Mora</x:v>
      </x:c>
      <x:c r="U89" s="29" t="str">
        <x:v>Pendiente</x:v>
      </x:c>
      <x:c r="V89" s="28" t="n">
        <x:v>46137</x:v>
      </x:c>
      <x:c r="W89" s="31" t="n">
        <x:v>68</x:v>
      </x:c>
      <x:c r="X89" s="29" t="str">
        <x:v>Medio</x:v>
      </x:c>
      <x:c r="Y89" s="29" t="str">
        <x:v>Debito automatico</x:v>
      </x:c>
      <x:c r="Z89" s="29" t="str"/>
      <x:c r="AA89" s="29" t="str">
        <x:v>Si</x:v>
      </x:c>
      <x:c r="AB89" s="32" t="str">
        <x:v>Conciliacion no cerrada</x:v>
      </x:c>
    </x:row>
    <x:row r="90">
      <x:c r="A90" s="27" t="str">
        <x:v>TRX-089</x:v>
      </x:c>
      <x:c r="B90" s="28" t="n">
        <x:v>46117</x:v>
      </x:c>
      <x:c r="C90" s="28" t="n">
        <x:v>46117</x:v>
      </x:c>
      <x:c r="D90" s="29" t="str">
        <x:v>EMP-003</x:v>
      </x:c>
      <x:c r="E90" s="29" t="str">
        <x:v>Insumos Horizonte S.A.</x:v>
      </x:c>
      <x:c r="F90" s="29" t="str">
        <x:v>1003-902244</x:v>
      </x:c>
      <x:c r="G90" s="29" t="str">
        <x:v>Banco Capital</x:v>
      </x:c>
      <x:c r="H90" s="29" t="str">
        <x:v>Egreso</x:v>
      </x:c>
      <x:c r="I90" s="29" t="str">
        <x:v>Nomina</x:v>
      </x:c>
      <x:c r="J90" s="29" t="str">
        <x:v>Servicios Beta</x:v>
      </x:c>
      <x:c r="K90" s="29" t="str">
        <x:v>NOM-20260089</x:v>
      </x:c>
      <x:c r="L90" s="29" t="str">
        <x:v>COP</x:v>
      </x:c>
      <x:c r="M90" s="30" t="n">
        <x:v>-6487037</x:v>
      </x:c>
      <x:c r="N90" s="30" t="n">
        <x:v>0</x:v>
      </x:c>
      <x:c r="O90" s="30" t="n">
        <x:v>-6487037</x:v>
      </x:c>
      <x:c r="P90" s="29" t="str">
        <x:v>Debito automatico</x:v>
      </x:c>
      <x:c r="Q90" s="29" t="str"/>
      <x:c r="R90" s="29" t="str">
        <x:v>Cartagena</x:v>
      </x:c>
      <x:c r="S90" s="29" t="str">
        <x:v>Colombia</x:v>
      </x:c>
      <x:c r="T90" s="29" t="str"/>
      <x:c r="U90" s="29" t="str">
        <x:v>Conciliado</x:v>
      </x:c>
      <x:c r="V90" s="28" t="n">
        <x:v>46145</x:v>
      </x:c>
      <x:c r="W90" s="31" t="n">
        <x:v>0</x:v>
      </x:c>
      <x:c r="X90" s="29" t="str">
        <x:v>Bajo</x:v>
      </x:c>
      <x:c r="Y90" s="29" t="str">
        <x:v>Caja</x:v>
      </x:c>
      <x:c r="Z90" s="29" t="str"/>
      <x:c r="AA90" s="29" t="str">
        <x:v>No</x:v>
      </x:c>
      <x:c r="AB90" s="32" t="str"/>
    </x:row>
    <x:row r="91">
      <x:c r="A91" s="27" t="str">
        <x:v>TRX-090</x:v>
      </x:c>
      <x:c r="B91" s="28" t="n">
        <x:v>46120</x:v>
      </x:c>
      <x:c r="C91" s="28" t="n">
        <x:v>46123</x:v>
      </x:c>
      <x:c r="D91" s="29" t="str">
        <x:v>EMP-001</x:v>
      </x:c>
      <x:c r="E91" s="29" t="str">
        <x:v>Nova Retail S.A.S.</x:v>
      </x:c>
      <x:c r="F91" s="29" t="str">
        <x:v>1001-884422</x:v>
      </x:c>
      <x:c r="G91" s="29" t="str">
        <x:v>Banco Pacifico</x:v>
      </x:c>
      <x:c r="H91" s="29" t="str">
        <x:v>Ingreso</x:v>
      </x:c>
      <x:c r="I91" s="29" t="str">
        <x:v>Venta nacional</x:v>
      </x:c>
      <x:c r="J91" s="29" t="str">
        <x:v>Aduanas Global</x:v>
      </x:c>
      <x:c r="K91" s="29" t="str">
        <x:v>FAC-20260090</x:v>
      </x:c>
      <x:c r="L91" s="29" t="str">
        <x:v>COP</x:v>
      </x:c>
      <x:c r="M91" s="30" t="n">
        <x:v>6558970</x:v>
      </x:c>
      <x:c r="N91" s="30" t="n">
        <x:v>1246204.3</x:v>
      </x:c>
      <x:c r="O91" s="30" t="n">
        <x:v>7805174.3</x:v>
      </x:c>
      <x:c r="P91" s="29" t="str">
        <x:v>ACH</x:v>
      </x:c>
      <x:c r="Q91" s="29" t="str">
        <x:v>Administracion</x:v>
      </x:c>
      <x:c r="R91" s="29" t="str">
        <x:v>Bogota</x:v>
      </x:c>
      <x:c r="S91" s="29" t="str">
        <x:v>Colombia</x:v>
      </x:c>
      <x:c r="T91" s="29" t="str">
        <x:v>Ana Ruiz</x:v>
      </x:c>
      <x:c r="U91" s="29" t="str">
        <x:v>Conciliado</x:v>
      </x:c>
      <x:c r="V91" s="28" t="n">
        <x:v>46108</x:v>
      </x:c>
      <x:c r="W91" s="31" t="n">
        <x:v>0</x:v>
      </x:c>
      <x:c r="X91" s="29" t="str">
        <x:v>Bajo</x:v>
      </x:c>
      <x:c r="Y91" s="29" t="str">
        <x:v>Portal bancario</x:v>
      </x:c>
      <x:c r="Z91" s="29" t="str"/>
      <x:c r="AA91" s="29" t="str">
        <x:v>Si</x:v>
      </x:c>
      <x:c r="AB91" s="32" t="str">
        <x:v>Monto alto</x:v>
      </x:c>
    </x:row>
    <x:row r="92">
      <x:c r="A92" s="27" t="str">
        <x:v>TRX-091</x:v>
      </x:c>
      <x:c r="B92" s="28" t="n">
        <x:v>46123</x:v>
      </x:c>
      <x:c r="C92" s="28" t="n">
        <x:v>46123</x:v>
      </x:c>
      <x:c r="D92" s="29" t="str">
        <x:v>EMP-003</x:v>
      </x:c>
      <x:c r="E92" s="29" t="str">
        <x:v>Insumos Horizonte S.A.</x:v>
      </x:c>
      <x:c r="F92" s="29" t="str">
        <x:v>1003-902244</x:v>
      </x:c>
      <x:c r="G92" s="29" t="str">
        <x:v>Banco Nacional</x:v>
      </x:c>
      <x:c r="H92" s="29" t="str">
        <x:v>Ingreso</x:v>
      </x:c>
      <x:c r="I92" s="29" t="str">
        <x:v>Venta internacional</x:v>
      </x:c>
      <x:c r="J92" s="29" t="str">
        <x:v>Energia Urbana</x:v>
      </x:c>
      <x:c r="K92" s="29" t="str">
        <x:v>FAC-20260091</x:v>
      </x:c>
      <x:c r="L92" s="29" t="str">
        <x:v>COP</x:v>
      </x:c>
      <x:c r="M92" s="30" t="n">
        <x:v>6630903</x:v>
      </x:c>
      <x:c r="N92" s="30" t="n">
        <x:v>0</x:v>
      </x:c>
      <x:c r="O92" s="30" t="n">
        <x:v>6630903</x:v>
      </x:c>
      <x:c r="P92" s="29" t="str">
        <x:v>Transferencia local</x:v>
      </x:c>
      <x:c r="Q92" s="29" t="str">
        <x:v>Comercial</x:v>
      </x:c>
      <x:c r="R92" s="29" t="str">
        <x:v>Medellin</x:v>
      </x:c>
      <x:c r="S92" s="29" t="str">
        <x:v>Colombia</x:v>
      </x:c>
      <x:c r="T92" s="29" t="str">
        <x:v>Carlos Pena</x:v>
      </x:c>
      <x:c r="U92" s="29" t="str">
        <x:v>Diferencia</x:v>
      </x:c>
      <x:c r="V92" s="28" t="n">
        <x:v>46116</x:v>
      </x:c>
      <x:c r="W92" s="31" t="n">
        <x:v>89</x:v>
      </x:c>
      <x:c r="X92" s="29" t="str">
        <x:v>Medio</x:v>
      </x:c>
      <x:c r="Y92" s="29" t="str">
        <x:v>PSE</x:v>
      </x:c>
      <x:c r="Z92" s="29" t="str"/>
      <x:c r="AA92" s="29" t="str">
        <x:v>Si</x:v>
      </x:c>
      <x:c r="AB92" s="32" t="str">
        <x:v>Conciliacion no cerrada</x:v>
      </x:c>
    </x:row>
    <x:row r="93">
      <x:c r="A93" s="27" t="str">
        <x:v>TRX-092</x:v>
      </x:c>
      <x:c r="B93" s="28" t="n">
        <x:v>46126</x:v>
      </x:c>
      <x:c r="C93" s="28" t="n">
        <x:v>46127</x:v>
      </x:c>
      <x:c r="D93" s="29" t="str">
        <x:v>EMP-001</x:v>
      </x:c>
      <x:c r="E93" s="29" t="str">
        <x:v>Nova Retail S.A.S.</x:v>
      </x:c>
      <x:c r="F93" s="29" t="str">
        <x:v>1001-884422</x:v>
      </x:c>
      <x:c r="G93" s="29" t="str">
        <x:v>Banco Andino</x:v>
      </x:c>
      <x:c r="H93" s="29" t="str">
        <x:v>Egreso</x:v>
      </x:c>
      <x:c r="I93" s="29" t="str">
        <x:v>Arriendo</x:v>
      </x:c>
      <x:c r="J93" s="29" t="str">
        <x:v>Talento Humano</x:v>
      </x:c>
      <x:c r="K93" s="29" t="str"/>
      <x:c r="L93" s="29" t="str">
        <x:v>COP</x:v>
      </x:c>
      <x:c r="M93" s="30" t="n">
        <x:v>-6702836</x:v>
      </x:c>
      <x:c r="N93" s="30" t="n">
        <x:v>-1273538.84</x:v>
      </x:c>
      <x:c r="O93" s="30" t="n">
        <x:v>-7976374.84</x:v>
      </x:c>
      <x:c r="P93" s="29" t="str">
        <x:v>Tarjeta credito</x:v>
      </x:c>
      <x:c r="Q93" s="29" t="str">
        <x:v>Operaciones</x:v>
      </x:c>
      <x:c r="R93" s="29" t="str">
        <x:v>Cali</x:v>
      </x:c>
      <x:c r="S93" s="29" t="str">
        <x:v>Colombia</x:v>
      </x:c>
      <x:c r="T93" s="29" t="str">
        <x:v>Diana Torres</x:v>
      </x:c>
      <x:c r="U93" s="29" t="str">
        <x:v>Pendiente</x:v>
      </x:c>
      <x:c r="V93" s="28" t="n">
        <x:v>46124</x:v>
      </x:c>
      <x:c r="W93" s="31" t="n">
        <x:v>81</x:v>
      </x:c>
      <x:c r="X93" s="29" t="str">
        <x:v>Alto</x:v>
      </x:c>
      <x:c r="Y93" s="29" t="str">
        <x:v>Transferencia</x:v>
      </x:c>
      <x:c r="Z93" s="29" t="str">
        <x:v>Soporte pendiente</x:v>
      </x:c>
      <x:c r="AA93" s="29" t="str">
        <x:v>Si</x:v>
      </x:c>
      <x:c r="AB93" s="32" t="str">
        <x:v>Conciliacion no cerrada; Monto alto; Documento faltante</x:v>
      </x:c>
    </x:row>
    <x:row r="94">
      <x:c r="A94" s="27" t="str">
        <x:v>TRX-093</x:v>
      </x:c>
      <x:c r="B94" s="28" t="n">
        <x:v>46129</x:v>
      </x:c>
      <x:c r="C94" s="28" t="n">
        <x:v>46129</x:v>
      </x:c>
      <x:c r="D94" s="29" t="str">
        <x:v>EMP-002</x:v>
      </x:c>
      <x:c r="E94" s="29" t="str">
        <x:v>Logistica Prisma Ltda.</x:v>
      </x:c>
      <x:c r="F94" s="29" t="str">
        <x:v>1002-553311</x:v>
      </x:c>
      <x:c r="G94" s="29" t="str">
        <x:v>Banco Capital</x:v>
      </x:c>
      <x:c r="H94" s="29" t="str">
        <x:v>Egreso</x:v>
      </x:c>
      <x:c r="I94" s="29" t="str">
        <x:v>Reembolso</x:v>
      </x:c>
      <x:c r="J94" s="29" t="str">
        <x:v>Arrendadora Centro</x:v>
      </x:c>
      <x:c r="K94" s="29" t="str">
        <x:v>PAG-20260093</x:v>
      </x:c>
      <x:c r="L94" s="29" t="str">
        <x:v>COP</x:v>
      </x:c>
      <x:c r="M94" s="30" t="n">
        <x:v>-6774769</x:v>
      </x:c>
      <x:c r="N94" s="30" t="n">
        <x:v>0</x:v>
      </x:c>
      <x:c r="O94" s="30" t="n">
        <x:v>-6774769</x:v>
      </x:c>
      <x:c r="P94" s="29" t="str">
        <x:v>Cheque</x:v>
      </x:c>
      <x:c r="Q94" s="29" t="str"/>
      <x:c r="R94" s="29" t="str">
        <x:v>Barranquilla</x:v>
      </x:c>
      <x:c r="S94" s="29" t="str">
        <x:v>Colombia</x:v>
      </x:c>
      <x:c r="T94" s="29" t="str">
        <x:v>Felipe Mora</x:v>
      </x:c>
      <x:c r="U94" s="29" t="str">
        <x:v>Conciliado</x:v>
      </x:c>
      <x:c r="V94" s="28" t="n">
        <x:v>46132</x:v>
      </x:c>
      <x:c r="W94" s="31" t="n">
        <x:v>0</x:v>
      </x:c>
      <x:c r="X94" s="29" t="str">
        <x:v>Bajo</x:v>
      </x:c>
      <x:c r="Y94" s="29" t="str">
        <x:v>Tarjeta</x:v>
      </x:c>
      <x:c r="Z94" s="29" t="str"/>
      <x:c r="AA94" s="29" t="str">
        <x:v>Si</x:v>
      </x:c>
      <x:c r="AB94" s="32" t="str">
        <x:v>Centro de costo vacio</x:v>
      </x:c>
    </x:row>
    <x:row r="95">
      <x:c r="A95" s="27" t="str">
        <x:v>TRX-094</x:v>
      </x:c>
      <x:c r="B95" s="28" t="n">
        <x:v>46132</x:v>
      </x:c>
      <x:c r="C95" s="28" t="n">
        <x:v>46132</x:v>
      </x:c>
      <x:c r="D95" s="29" t="str">
        <x:v>EMP-003</x:v>
      </x:c>
      <x:c r="E95" s="29" t="str">
        <x:v>Insumos Horizonte S.A.</x:v>
      </x:c>
      <x:c r="F95" s="29" t="str">
        <x:v>1003-902244</x:v>
      </x:c>
      <x:c r="G95" s="29" t="str">
        <x:v>Banco Pacifico</x:v>
      </x:c>
      <x:c r="H95" s="29" t="str">
        <x:v>Egreso</x:v>
      </x:c>
      <x:c r="I95" s="29" t="str">
        <x:v>Comision bancaria</x:v>
      </x:c>
      <x:c r="J95" s="29" t="str">
        <x:v>Financiera Sur</x:v>
      </x:c>
      <x:c r="K95" s="29" t="str">
        <x:v>PAG-20260094</x:v>
      </x:c>
      <x:c r="L95" s="29" t="str">
        <x:v>COP</x:v>
      </x:c>
      <x:c r="M95" s="30" t="n">
        <x:v>-6846702</x:v>
      </x:c>
      <x:c r="N95" s="30" t="n">
        <x:v>0</x:v>
      </x:c>
      <x:c r="O95" s="30" t="n">
        <x:v>-6846702</x:v>
      </x:c>
      <x:c r="P95" s="29" t="str">
        <x:v>Debito automatico</x:v>
      </x:c>
      <x:c r="Q95" s="29" t="str">
        <x:v>Finanzas</x:v>
      </x:c>
      <x:c r="R95" s="29" t="str">
        <x:v>Cartagena</x:v>
      </x:c>
      <x:c r="S95" s="29" t="str">
        <x:v>Colombia</x:v>
      </x:c>
      <x:c r="T95" s="29" t="str"/>
      <x:c r="U95" s="29" t="str">
        <x:v>Conciliado</x:v>
      </x:c>
      <x:c r="V95" s="28" t="n">
        <x:v>46140</x:v>
      </x:c>
      <x:c r="W95" s="31" t="n">
        <x:v>0</x:v>
      </x:c>
      <x:c r="X95" s="29" t="str">
        <x:v>Bajo</x:v>
      </x:c>
      <x:c r="Y95" s="29" t="str">
        <x:v>Debito automatico</x:v>
      </x:c>
      <x:c r="Z95" s="29" t="str"/>
      <x:c r="AA95" s="29" t="str">
        <x:v>No</x:v>
      </x:c>
      <x:c r="AB95" s="32" t="str"/>
    </x:row>
    <x:row r="96">
      <x:c r="A96" s="27" t="str">
        <x:v>TRX-095</x:v>
      </x:c>
      <x:c r="B96" s="28" t="n">
        <x:v>46135</x:v>
      </x:c>
      <x:c r="C96" s="28" t="n">
        <x:v>46135</x:v>
      </x:c>
      <x:c r="D96" s="29" t="str">
        <x:v>EMP-001</x:v>
      </x:c>
      <x:c r="E96" s="29" t="str">
        <x:v>Nova Retail S.A.S.</x:v>
      </x:c>
      <x:c r="F96" s="29" t="str">
        <x:v>1001-884422</x:v>
      </x:c>
      <x:c r="G96" s="29" t="str">
        <x:v>Banco Nacional</x:v>
      </x:c>
      <x:c r="H96" s="29" t="str">
        <x:v>Ingreso</x:v>
      </x:c>
      <x:c r="I96" s="29" t="str">
        <x:v>Credito bancario</x:v>
      </x:c>
      <x:c r="J96" s="29" t="str">
        <x:v>Cliente Express</x:v>
      </x:c>
      <x:c r="K96" s="29" t="str">
        <x:v>FAC-20260095</x:v>
      </x:c>
      <x:c r="L96" s="29" t="str">
        <x:v>COP</x:v>
      </x:c>
      <x:c r="M96" s="30" t="n">
        <x:v>6918635</x:v>
      </x:c>
      <x:c r="N96" s="30" t="n">
        <x:v>0</x:v>
      </x:c>
      <x:c r="O96" s="30" t="n">
        <x:v>6918635</x:v>
      </x:c>
      <x:c r="P96" s="29" t="str">
        <x:v>ACH</x:v>
      </x:c>
      <x:c r="Q96" s="29" t="str"/>
      <x:c r="R96" s="29" t="str">
        <x:v>Bogota</x:v>
      </x:c>
      <x:c r="S96" s="29" t="str">
        <x:v>Colombia</x:v>
      </x:c>
      <x:c r="T96" s="29" t="str">
        <x:v>Ana Ruiz</x:v>
      </x:c>
      <x:c r="U96" s="29" t="str">
        <x:v>Rechazado</x:v>
      </x:c>
      <x:c r="V96" s="28" t="n">
        <x:v>46148</x:v>
      </x:c>
      <x:c r="W96" s="31" t="n">
        <x:v>57</x:v>
      </x:c>
      <x:c r="X96" s="29" t="str">
        <x:v>Medio</x:v>
      </x:c>
      <x:c r="Y96" s="29" t="str">
        <x:v>Caja</x:v>
      </x:c>
      <x:c r="Z96" s="29" t="str"/>
      <x:c r="AA96" s="29" t="str">
        <x:v>Si</x:v>
      </x:c>
      <x:c r="AB96" s="32" t="str">
        <x:v>Conciliacion no cerrada</x:v>
      </x:c>
    </x:row>
    <x:row r="97">
      <x:c r="A97" s="27" t="str">
        <x:v>TRX-096</x:v>
      </x:c>
      <x:c r="B97" s="28" t="n">
        <x:v>46138</x:v>
      </x:c>
      <x:c r="C97" s="28" t="n">
        <x:v>46141</x:v>
      </x:c>
      <x:c r="D97" s="29" t="str">
        <x:v>EMP-002</x:v>
      </x:c>
      <x:c r="E97" s="29" t="str">
        <x:v>Logistica Prisma Ltda.</x:v>
      </x:c>
      <x:c r="F97" s="29" t="str">
        <x:v>1002-553311</x:v>
      </x:c>
      <x:c r="G97" s="29" t="str">
        <x:v>Banco Andino</x:v>
      </x:c>
      <x:c r="H97" s="29" t="str">
        <x:v>Egreso</x:v>
      </x:c>
      <x:c r="I97" s="29" t="str">
        <x:v>Pago proveedor</x:v>
      </x:c>
      <x:c r="J97" s="29" t="str"/>
      <x:c r="K97" s="29" t="str">
        <x:v>PAG-20260096</x:v>
      </x:c>
      <x:c r="L97" s="29" t="str">
        <x:v>COP</x:v>
      </x:c>
      <x:c r="M97" s="30" t="n">
        <x:v>-6990568</x:v>
      </x:c>
      <x:c r="N97" s="30" t="n">
        <x:v>-1328207.92</x:v>
      </x:c>
      <x:c r="O97" s="30" t="n">
        <x:v>-8318775.92</x:v>
      </x:c>
      <x:c r="P97" s="29" t="str">
        <x:v>Transferencia local</x:v>
      </x:c>
      <x:c r="Q97" s="29" t="str">
        <x:v>Administracion</x:v>
      </x:c>
      <x:c r="R97" s="29" t="str">
        <x:v>Medellin</x:v>
      </x:c>
      <x:c r="S97" s="29" t="str">
        <x:v>Colombia</x:v>
      </x:c>
      <x:c r="T97" s="29" t="str">
        <x:v>Carlos Pena</x:v>
      </x:c>
      <x:c r="U97" s="29" t="str">
        <x:v>Pendiente</x:v>
      </x:c>
      <x:c r="V97" s="28" t="n">
        <x:v>46156</x:v>
      </x:c>
      <x:c r="W97" s="31" t="n">
        <x:v>49</x:v>
      </x:c>
      <x:c r="X97" s="29" t="str">
        <x:v>Alto</x:v>
      </x:c>
      <x:c r="Y97" s="29" t="str">
        <x:v>Portal bancario</x:v>
      </x:c>
      <x:c r="Z97" s="29" t="str"/>
      <x:c r="AA97" s="29" t="str">
        <x:v>Si</x:v>
      </x:c>
      <x:c r="AB97" s="32" t="str">
        <x:v>Conciliacion no cerrada; Monto alto</x:v>
      </x:c>
    </x:row>
    <x:row r="98">
      <x:c r="A98" s="27" t="str">
        <x:v>TRX-097</x:v>
      </x:c>
      <x:c r="B98" s="28" t="n">
        <x:v>46141</x:v>
      </x:c>
      <x:c r="C98" s="28" t="n">
        <x:v>46141</x:v>
      </x:c>
      <x:c r="D98" s="29" t="str">
        <x:v>EMP-003</x:v>
      </x:c>
      <x:c r="E98" s="29" t="str">
        <x:v>Insumos Horizonte S.A.</x:v>
      </x:c>
      <x:c r="F98" s="29" t="str">
        <x:v>1003-902244</x:v>
      </x:c>
      <x:c r="G98" s="29" t="str">
        <x:v>Banco Capital</x:v>
      </x:c>
      <x:c r="H98" s="29" t="str">
        <x:v>Egreso</x:v>
      </x:c>
      <x:c r="I98" s="29" t="str">
        <x:v>Nomina</x:v>
      </x:c>
      <x:c r="J98" s="29" t="str">
        <x:v>Cliente Norte S.A.</x:v>
      </x:c>
      <x:c r="K98" s="29" t="str">
        <x:v>NOM-20260097</x:v>
      </x:c>
      <x:c r="L98" s="29" t="str">
        <x:v>COP</x:v>
      </x:c>
      <x:c r="M98" s="30" t="n">
        <x:v>-7062501</x:v>
      </x:c>
      <x:c r="N98" s="30" t="n">
        <x:v>0</x:v>
      </x:c>
      <x:c r="O98" s="30" t="n">
        <x:v>-7062501</x:v>
      </x:c>
      <x:c r="P98" s="29" t="str">
        <x:v>Tarjeta credito</x:v>
      </x:c>
      <x:c r="Q98" s="29" t="str">
        <x:v>Comercial</x:v>
      </x:c>
      <x:c r="R98" s="29" t="str">
        <x:v>Cali</x:v>
      </x:c>
      <x:c r="S98" s="29" t="str">
        <x:v>Colombia</x:v>
      </x:c>
      <x:c r="T98" s="29" t="str">
        <x:v>Diana Torres</x:v>
      </x:c>
      <x:c r="U98" s="29" t="str">
        <x:v>Conciliado</x:v>
      </x:c>
      <x:c r="V98" s="28" t="n">
        <x:v>46164</x:v>
      </x:c>
      <x:c r="W98" s="31" t="n">
        <x:v>0</x:v>
      </x:c>
      <x:c r="X98" s="29" t="str">
        <x:v>Bajo</x:v>
      </x:c>
      <x:c r="Y98" s="29" t="str">
        <x:v>PSE</x:v>
      </x:c>
      <x:c r="Z98" s="29" t="str"/>
      <x:c r="AA98" s="29" t="str">
        <x:v>No</x:v>
      </x:c>
      <x:c r="AB98" s="32" t="str"/>
    </x:row>
    <x:row r="99">
      <x:c r="A99" s="27" t="str">
        <x:v>TRX-098</x:v>
      </x:c>
      <x:c r="B99" s="28" t="n">
        <x:v>46144</x:v>
      </x:c>
      <x:c r="C99" s="28" t="n">
        <x:v>46144</x:v>
      </x:c>
      <x:c r="D99" s="29" t="str">
        <x:v>EMP-002</x:v>
      </x:c>
      <x:c r="E99" s="29" t="str">
        <x:v>Logistica Prisma Ltda.</x:v>
      </x:c>
      <x:c r="F99" s="29" t="str">
        <x:v>1002-553311</x:v>
      </x:c>
      <x:c r="G99" s="29" t="str">
        <x:v>Banco Pacifico</x:v>
      </x:c>
      <x:c r="H99" s="29" t="str">
        <x:v>Ingreso</x:v>
      </x:c>
      <x:c r="I99" s="29" t="str">
        <x:v>Credito bancario</x:v>
      </x:c>
      <x:c r="J99" s="29" t="str">
        <x:v>Distribuidora Delta</x:v>
      </x:c>
      <x:c r="K99" s="29" t="str">
        <x:v>FAC-20260098</x:v>
      </x:c>
      <x:c r="L99" s="29" t="str">
        <x:v>COP</x:v>
      </x:c>
      <x:c r="M99" s="30" t="n">
        <x:v>7134434</x:v>
      </x:c>
      <x:c r="N99" s="30" t="n">
        <x:v>0</x:v>
      </x:c>
      <x:c r="O99" s="30" t="n">
        <x:v>7134434</x:v>
      </x:c>
      <x:c r="P99" s="29" t="str">
        <x:v>Cheque</x:v>
      </x:c>
      <x:c r="Q99" s="29" t="str">
        <x:v>Operaciones</x:v>
      </x:c>
      <x:c r="R99" s="29" t="str">
        <x:v>Barranquilla</x:v>
      </x:c>
      <x:c r="S99" s="29" t="str">
        <x:v>Colombia</x:v>
      </x:c>
      <x:c r="T99" s="29" t="str">
        <x:v>Felipe Mora</x:v>
      </x:c>
      <x:c r="U99" s="29" t="str">
        <x:v>Conciliado</x:v>
      </x:c>
      <x:c r="V99" s="28" t="n">
        <x:v>46172</x:v>
      </x:c>
      <x:c r="W99" s="31" t="n">
        <x:v>0</x:v>
      </x:c>
      <x:c r="X99" s="29" t="str">
        <x:v>Bajo</x:v>
      </x:c>
      <x:c r="Y99" s="29" t="str">
        <x:v>Transferencia</x:v>
      </x:c>
      <x:c r="Z99" s="29" t="str"/>
      <x:c r="AA99" s="29" t="str">
        <x:v>No</x:v>
      </x:c>
      <x:c r="AB99" s="32" t="str"/>
    </x:row>
    <x:row r="100">
      <x:c r="A100" s="27" t="str">
        <x:v>TRX-099</x:v>
      </x:c>
      <x:c r="B100" s="28" t="n">
        <x:v>46147</x:v>
      </x:c>
      <x:c r="C100" s="28" t="n">
        <x:v>46147</x:v>
      </x:c>
      <x:c r="D100" s="29" t="str">
        <x:v>EMP-003</x:v>
      </x:c>
      <x:c r="E100" s="29" t="str">
        <x:v>Insumos Horizonte S.A.</x:v>
      </x:c>
      <x:c r="F100" s="29" t="str">
        <x:v>1003-902244</x:v>
      </x:c>
      <x:c r="G100" s="29" t="str">
        <x:v>Banco Nacional</x:v>
      </x:c>
      <x:c r="H100" s="29" t="str">
        <x:v>Ingreso</x:v>
      </x:c>
      <x:c r="I100" s="29" t="str">
        <x:v>Venta nacional</x:v>
      </x:c>
      <x:c r="J100" s="29" t="str">
        <x:v>Proveedor Alfa</x:v>
      </x:c>
      <x:c r="K100" s="29" t="str">
        <x:v>FAC-20260099</x:v>
      </x:c>
      <x:c r="L100" s="29" t="str">
        <x:v>COP</x:v>
      </x:c>
      <x:c r="M100" s="30" t="n">
        <x:v>7206367</x:v>
      </x:c>
      <x:c r="N100" s="30" t="n">
        <x:v>1369209.73</x:v>
      </x:c>
      <x:c r="O100" s="30" t="n">
        <x:v>8575576.73</x:v>
      </x:c>
      <x:c r="P100" s="29" t="str">
        <x:v>Debito automatico</x:v>
      </x:c>
      <x:c r="Q100" s="29" t="str">
        <x:v>Tecnologia</x:v>
      </x:c>
      <x:c r="R100" s="29" t="str">
        <x:v>Cartagena</x:v>
      </x:c>
      <x:c r="S100" s="29" t="str">
        <x:v>Colombia</x:v>
      </x:c>
      <x:c r="T100" s="29" t="str"/>
      <x:c r="U100" s="29" t="str">
        <x:v>Conciliado</x:v>
      </x:c>
      <x:c r="V100" s="28" t="n">
        <x:v>46135</x:v>
      </x:c>
      <x:c r="W100" s="31" t="n">
        <x:v>0</x:v>
      </x:c>
      <x:c r="X100" s="29" t="str">
        <x:v>Bajo</x:v>
      </x:c>
      <x:c r="Y100" s="29" t="str">
        <x:v>Tarjeta</x:v>
      </x:c>
      <x:c r="Z100" s="29" t="str"/>
      <x:c r="AA100" s="29" t="str">
        <x:v>Si</x:v>
      </x:c>
      <x:c r="AB100" s="32" t="str">
        <x:v>Monto alto</x:v>
      </x:c>
    </x:row>
    <x:row r="101">
      <x:c r="A101" s="27" t="str">
        <x:v>TRX-100</x:v>
      </x:c>
      <x:c r="B101" s="28" t="n">
        <x:v>46150</x:v>
      </x:c>
      <x:c r="C101" s="28" t="n">
        <x:v>46151</x:v>
      </x:c>
      <x:c r="D101" s="29" t="str">
        <x:v>EMP-001</x:v>
      </x:c>
      <x:c r="E101" s="29" t="str">
        <x:v>Nova Retail S.A.S.</x:v>
      </x:c>
      <x:c r="F101" s="29" t="str">
        <x:v>1001-884422</x:v>
      </x:c>
      <x:c r="G101" s="29" t="str">
        <x:v>Banco Andino</x:v>
      </x:c>
      <x:c r="H101" s="29" t="str">
        <x:v>Ingreso</x:v>
      </x:c>
      <x:c r="I101" s="29" t="str">
        <x:v>Venta internacional</x:v>
      </x:c>
      <x:c r="J101" s="29" t="str">
        <x:v>Servicios Beta</x:v>
      </x:c>
      <x:c r="K101" s="29" t="str">
        <x:v>FAC-20260100</x:v>
      </x:c>
      <x:c r="L101" s="29" t="str">
        <x:v>COP</x:v>
      </x:c>
      <x:c r="M101" s="30" t="n">
        <x:v>7278300</x:v>
      </x:c>
      <x:c r="N101" s="30" t="n">
        <x:v>0</x:v>
      </x:c>
      <x:c r="O101" s="30" t="n">
        <x:v>7278300</x:v>
      </x:c>
      <x:c r="P101" s="29" t="str">
        <x:v>ACH</x:v>
      </x:c>
      <x:c r="Q101" s="29" t="str">
        <x:v>Finanzas</x:v>
      </x:c>
      <x:c r="R101" s="29" t="str">
        <x:v>Bogota</x:v>
      </x:c>
      <x:c r="S101" s="29" t="str">
        <x:v>Colombia</x:v>
      </x:c>
      <x:c r="T101" s="29" t="str">
        <x:v>Ana Ruiz</x:v>
      </x:c>
      <x:c r="U101" s="29" t="str">
        <x:v>Pendiente</x:v>
      </x:c>
      <x:c r="V101" s="28" t="n">
        <x:v>46143</x:v>
      </x:c>
      <x:c r="W101" s="31" t="n">
        <x:v>62</x:v>
      </x:c>
      <x:c r="X101" s="29" t="str">
        <x:v>Medio</x:v>
      </x:c>
      <x:c r="Y101" s="29" t="str">
        <x:v>Debito automatico</x:v>
      </x:c>
      <x:c r="Z101" s="29" t="str"/>
      <x:c r="AA101" s="29" t="str">
        <x:v>Si</x:v>
      </x:c>
      <x:c r="AB101" s="32" t="str">
        <x:v>Conciliacion no cerrada</x:v>
      </x:c>
    </x:row>
    <x:row r="102">
      <x:c r="A102" s="27" t="str">
        <x:v>TRX-101</x:v>
      </x:c>
      <x:c r="B102" s="28" t="n">
        <x:v>46153</x:v>
      </x:c>
      <x:c r="C102" s="28" t="n">
        <x:v>46153</x:v>
      </x:c>
      <x:c r="D102" s="29" t="str">
        <x:v>EMP-002</x:v>
      </x:c>
      <x:c r="E102" s="29" t="str">
        <x:v>Logistica Prisma Ltda.</x:v>
      </x:c>
      <x:c r="F102" s="29" t="str">
        <x:v>1002-553311</x:v>
      </x:c>
      <x:c r="G102" s="29" t="str">
        <x:v>Banco Capital</x:v>
      </x:c>
      <x:c r="H102" s="29" t="str">
        <x:v>Egreso</x:v>
      </x:c>
      <x:c r="I102" s="29" t="str">
        <x:v>Reembolso</x:v>
      </x:c>
      <x:c r="J102" s="29" t="str">
        <x:v>Aduanas Global</x:v>
      </x:c>
      <x:c r="K102" s="29" t="str">
        <x:v>PAG-20260101</x:v>
      </x:c>
      <x:c r="L102" s="29" t="str">
        <x:v>COP</x:v>
      </x:c>
      <x:c r="M102" s="30" t="n">
        <x:v>-7350233</x:v>
      </x:c>
      <x:c r="N102" s="30" t="n">
        <x:v>0</x:v>
      </x:c>
      <x:c r="O102" s="30" t="n">
        <x:v>-7350233</x:v>
      </x:c>
      <x:c r="P102" s="29" t="str">
        <x:v>Transferencia local</x:v>
      </x:c>
      <x:c r="Q102" s="29" t="str"/>
      <x:c r="R102" s="29" t="str">
        <x:v>Medellin</x:v>
      </x:c>
      <x:c r="S102" s="29" t="str">
        <x:v>Colombia</x:v>
      </x:c>
      <x:c r="T102" s="29" t="str">
        <x:v>Carlos Pena</x:v>
      </x:c>
      <x:c r="U102" s="29" t="str">
        <x:v>Conciliado</x:v>
      </x:c>
      <x:c r="V102" s="28" t="n">
        <x:v>46151</x:v>
      </x:c>
      <x:c r="W102" s="31" t="n">
        <x:v>0</x:v>
      </x:c>
      <x:c r="X102" s="29" t="str">
        <x:v>Bajo</x:v>
      </x:c>
      <x:c r="Y102" s="29" t="str">
        <x:v>Caja</x:v>
      </x:c>
      <x:c r="Z102" s="29" t="str"/>
      <x:c r="AA102" s="29" t="str">
        <x:v>No</x:v>
      </x:c>
      <x:c r="AB102" s="32" t="str"/>
    </x:row>
    <x:row r="103">
      <x:c r="A103" s="27" t="str">
        <x:v>TRX-102</x:v>
      </x:c>
      <x:c r="B103" s="28" t="n">
        <x:v>46156</x:v>
      </x:c>
      <x:c r="C103" s="28" t="n">
        <x:v>46159</x:v>
      </x:c>
      <x:c r="D103" s="29" t="str">
        <x:v>EMP-003</x:v>
      </x:c>
      <x:c r="E103" s="29" t="str">
        <x:v>Insumos Horizonte S.A.</x:v>
      </x:c>
      <x:c r="F103" s="29" t="str">
        <x:v>1003-902244</x:v>
      </x:c>
      <x:c r="G103" s="29" t="str">
        <x:v>Banco Pacifico</x:v>
      </x:c>
      <x:c r="H103" s="29" t="str">
        <x:v>Egreso</x:v>
      </x:c>
      <x:c r="I103" s="29" t="str">
        <x:v>Comision bancaria</x:v>
      </x:c>
      <x:c r="J103" s="29" t="str">
        <x:v>Energia Urbana</x:v>
      </x:c>
      <x:c r="K103" s="29" t="str">
        <x:v>PAG-20260102</x:v>
      </x:c>
      <x:c r="L103" s="29" t="str">
        <x:v>COP</x:v>
      </x:c>
      <x:c r="M103" s="30" t="n">
        <x:v>-7422166</x:v>
      </x:c>
      <x:c r="N103" s="30" t="n">
        <x:v>0</x:v>
      </x:c>
      <x:c r="O103" s="30" t="n">
        <x:v>-7422166</x:v>
      </x:c>
      <x:c r="P103" s="29" t="str">
        <x:v>Tarjeta credito</x:v>
      </x:c>
      <x:c r="Q103" s="29" t="str">
        <x:v>Administracion</x:v>
      </x:c>
      <x:c r="R103" s="29" t="str">
        <x:v>Cali</x:v>
      </x:c>
      <x:c r="S103" s="29" t="str">
        <x:v>Colombia</x:v>
      </x:c>
      <x:c r="T103" s="29" t="str">
        <x:v>Diana Torres</x:v>
      </x:c>
      <x:c r="U103" s="29" t="str">
        <x:v>Conciliado</x:v>
      </x:c>
      <x:c r="V103" s="28" t="n">
        <x:v>46159</x:v>
      </x:c>
      <x:c r="W103" s="31" t="n">
        <x:v>0</x:v>
      </x:c>
      <x:c r="X103" s="29" t="str">
        <x:v>Bajo</x:v>
      </x:c>
      <x:c r="Y103" s="29" t="str">
        <x:v>Portal bancario</x:v>
      </x:c>
      <x:c r="Z103" s="29" t="str">
        <x:v>Valor reportado por banco no coincide con ERP</x:v>
      </x:c>
      <x:c r="AA103" s="29" t="str">
        <x:v>No</x:v>
      </x:c>
      <x:c r="AB103" s="32" t="str"/>
    </x:row>
    <x:row r="104">
      <x:c r="A104" s="27" t="str">
        <x:v>TRX-103</x:v>
      </x:c>
      <x:c r="B104" s="28" t="n">
        <x:v>46159</x:v>
      </x:c>
      <x:c r="C104" s="28" t="n">
        <x:v>46159</x:v>
      </x:c>
      <x:c r="D104" s="29" t="str">
        <x:v>EMP-001</x:v>
      </x:c>
      <x:c r="E104" s="29" t="str">
        <x:v>Nova Retail S.A.S.</x:v>
      </x:c>
      <x:c r="F104" s="29" t="str">
        <x:v>1001-884422</x:v>
      </x:c>
      <x:c r="G104" s="29" t="str">
        <x:v>Banco Nacional</x:v>
      </x:c>
      <x:c r="H104" s="29" t="str">
        <x:v>Egreso</x:v>
      </x:c>
      <x:c r="I104" s="29" t="str">
        <x:v>Credito bancario</x:v>
      </x:c>
      <x:c r="J104" s="29" t="str">
        <x:v>Talento Humano</x:v>
      </x:c>
      <x:c r="K104" s="29" t="str">
        <x:v>PAG-20260103</x:v>
      </x:c>
      <x:c r="L104" s="29" t="str">
        <x:v>COP</x:v>
      </x:c>
      <x:c r="M104" s="30" t="n">
        <x:v>-7494099</x:v>
      </x:c>
      <x:c r="N104" s="30" t="n">
        <x:v>0</x:v>
      </x:c>
      <x:c r="O104" s="30" t="n">
        <x:v>-7494099</x:v>
      </x:c>
      <x:c r="P104" s="29" t="str">
        <x:v>Cheque</x:v>
      </x:c>
      <x:c r="Q104" s="29" t="str">
        <x:v>Comercial</x:v>
      </x:c>
      <x:c r="R104" s="29" t="str">
        <x:v>Barranquilla</x:v>
      </x:c>
      <x:c r="S104" s="29" t="str">
        <x:v>Colombia</x:v>
      </x:c>
      <x:c r="T104" s="29" t="str">
        <x:v>Felipe Mora</x:v>
      </x:c>
      <x:c r="U104" s="29" t="str">
        <x:v>Conciliado</x:v>
      </x:c>
      <x:c r="V104" s="28" t="n">
        <x:v>46167</x:v>
      </x:c>
      <x:c r="W104" s="31" t="n">
        <x:v>0</x:v>
      </x:c>
      <x:c r="X104" s="29" t="str">
        <x:v>Bajo</x:v>
      </x:c>
      <x:c r="Y104" s="29" t="str">
        <x:v>PSE</x:v>
      </x:c>
      <x:c r="Z104" s="29" t="str"/>
      <x:c r="AA104" s="29" t="str">
        <x:v>No</x:v>
      </x:c>
      <x:c r="AB104" s="32" t="str"/>
    </x:row>
    <x:row r="105">
      <x:c r="A105" s="27" t="str">
        <x:v>TRX-104</x:v>
      </x:c>
      <x:c r="B105" s="28" t="n">
        <x:v>46162</x:v>
      </x:c>
      <x:c r="C105" s="28" t="n">
        <x:v>46163</x:v>
      </x:c>
      <x:c r="D105" s="29" t="str">
        <x:v>EMP-002</x:v>
      </x:c>
      <x:c r="E105" s="29" t="str">
        <x:v>Logistica Prisma Ltda.</x:v>
      </x:c>
      <x:c r="F105" s="29" t="str">
        <x:v>1002-553311</x:v>
      </x:c>
      <x:c r="G105" s="29" t="str">
        <x:v>Banco Andino</x:v>
      </x:c>
      <x:c r="H105" s="29" t="str">
        <x:v>Egreso</x:v>
      </x:c>
      <x:c r="I105" s="29" t="str">
        <x:v>Pago proveedor</x:v>
      </x:c>
      <x:c r="J105" s="29" t="str">
        <x:v>Arrendadora Centro</x:v>
      </x:c>
      <x:c r="K105" s="29" t="str">
        <x:v>PAG-20260104</x:v>
      </x:c>
      <x:c r="L105" s="29" t="str">
        <x:v>COP</x:v>
      </x:c>
      <x:c r="M105" s="30" t="n">
        <x:v>-7566032</x:v>
      </x:c>
      <x:c r="N105" s="30" t="n">
        <x:v>-1437546.08</x:v>
      </x:c>
      <x:c r="O105" s="30" t="n">
        <x:v>-9003578.08</x:v>
      </x:c>
      <x:c r="P105" s="29" t="str">
        <x:v>Debito automatico</x:v>
      </x:c>
      <x:c r="Q105" s="29" t="str">
        <x:v>Operaciones</x:v>
      </x:c>
      <x:c r="R105" s="29" t="str">
        <x:v>Cartagena</x:v>
      </x:c>
      <x:c r="S105" s="29" t="str">
        <x:v>Colombia</x:v>
      </x:c>
      <x:c r="T105" s="29" t="str"/>
      <x:c r="U105" s="29" t="str">
        <x:v>Diferencia</x:v>
      </x:c>
      <x:c r="V105" s="28" t="n">
        <x:v>46175</x:v>
      </x:c>
      <x:c r="W105" s="31" t="n">
        <x:v>30</x:v>
      </x:c>
      <x:c r="X105" s="29" t="str">
        <x:v>Medio</x:v>
      </x:c>
      <x:c r="Y105" s="29" t="str">
        <x:v>Transferencia</x:v>
      </x:c>
      <x:c r="Z105" s="29" t="str"/>
      <x:c r="AA105" s="29" t="str">
        <x:v>Si</x:v>
      </x:c>
      <x:c r="AB105" s="32" t="str">
        <x:v>Conciliacion no cerrada; Monto alto</x:v>
      </x:c>
    </x:row>
    <x:row r="106">
      <x:c r="A106" s="27" t="str">
        <x:v>TRX-105</x:v>
      </x:c>
      <x:c r="B106" s="28" t="n">
        <x:v>46165</x:v>
      </x:c>
      <x:c r="C106" s="28" t="n">
        <x:v>46165</x:v>
      </x:c>
      <x:c r="D106" s="29" t="str">
        <x:v>EMP-001</x:v>
      </x:c>
      <x:c r="E106" s="29" t="str">
        <x:v>Nova Retail S.A.S.</x:v>
      </x:c>
      <x:c r="F106" s="29" t="str">
        <x:v>1001-884422</x:v>
      </x:c>
      <x:c r="G106" s="29" t="str">
        <x:v>Banco Capital</x:v>
      </x:c>
      <x:c r="H106" s="29" t="str">
        <x:v>Ingreso</x:v>
      </x:c>
      <x:c r="I106" s="29" t="str">
        <x:v>Venta nacional</x:v>
      </x:c>
      <x:c r="J106" s="29" t="str">
        <x:v>Financiera Sur</x:v>
      </x:c>
      <x:c r="K106" s="29" t="str">
        <x:v>FAC-20260105</x:v>
      </x:c>
      <x:c r="L106" s="29" t="str">
        <x:v>COP</x:v>
      </x:c>
      <x:c r="M106" s="30" t="n">
        <x:v>7637965</x:v>
      </x:c>
      <x:c r="N106" s="30" t="n">
        <x:v>1451213.35</x:v>
      </x:c>
      <x:c r="O106" s="30" t="n">
        <x:v>9089178.35</x:v>
      </x:c>
      <x:c r="P106" s="29" t="str">
        <x:v>ACH</x:v>
      </x:c>
      <x:c r="Q106" s="29" t="str">
        <x:v>Tecnologia</x:v>
      </x:c>
      <x:c r="R106" s="29" t="str">
        <x:v>Bogota</x:v>
      </x:c>
      <x:c r="S106" s="29" t="str">
        <x:v>Colombia</x:v>
      </x:c>
      <x:c r="T106" s="29" t="str">
        <x:v>Ana Ruiz</x:v>
      </x:c>
      <x:c r="U106" s="29" t="str">
        <x:v>Conciliado</x:v>
      </x:c>
      <x:c r="V106" s="28" t="n">
        <x:v>46183</x:v>
      </x:c>
      <x:c r="W106" s="31" t="n">
        <x:v>0</x:v>
      </x:c>
      <x:c r="X106" s="29" t="str">
        <x:v>Bajo</x:v>
      </x:c>
      <x:c r="Y106" s="29" t="str">
        <x:v>Tarjeta</x:v>
      </x:c>
      <x:c r="Z106" s="29" t="str"/>
      <x:c r="AA106" s="29" t="str">
        <x:v>Si</x:v>
      </x:c>
      <x:c r="AB106" s="32" t="str">
        <x:v>Monto alto</x:v>
      </x:c>
    </x:row>
    <x:row r="107">
      <x:c r="A107" s="27" t="str">
        <x:v>TRX-106</x:v>
      </x:c>
      <x:c r="B107" s="28" t="n">
        <x:v>46168</x:v>
      </x:c>
      <x:c r="C107" s="28" t="n">
        <x:v>46168</x:v>
      </x:c>
      <x:c r="D107" s="29" t="str">
        <x:v>EMP-002</x:v>
      </x:c>
      <x:c r="E107" s="29" t="str">
        <x:v>Logistica Prisma Ltda.</x:v>
      </x:c>
      <x:c r="F107" s="29" t="str">
        <x:v>1002-553311</x:v>
      </x:c>
      <x:c r="G107" s="29" t="str">
        <x:v>Banco Pacifico</x:v>
      </x:c>
      <x:c r="H107" s="29" t="str">
        <x:v>Egreso</x:v>
      </x:c>
      <x:c r="I107" s="29" t="str">
        <x:v>Impuestos</x:v>
      </x:c>
      <x:c r="J107" s="29" t="str">
        <x:v>Cliente Express</x:v>
      </x:c>
      <x:c r="K107" s="29" t="str">
        <x:v>PAG-20260106</x:v>
      </x:c>
      <x:c r="L107" s="29" t="str">
        <x:v>COP</x:v>
      </x:c>
      <x:c r="M107" s="30" t="n">
        <x:v>-7709898</x:v>
      </x:c>
      <x:c r="N107" s="30" t="n">
        <x:v>0</x:v>
      </x:c>
      <x:c r="O107" s="30" t="n">
        <x:v>-7709898</x:v>
      </x:c>
      <x:c r="P107" s="29" t="str">
        <x:v>Transferencia local</x:v>
      </x:c>
      <x:c r="Q107" s="29" t="str">
        <x:v>Finanzas</x:v>
      </x:c>
      <x:c r="R107" s="29" t="str">
        <x:v>Medellin</x:v>
      </x:c>
      <x:c r="S107" s="29" t="str">
        <x:v>Colombia</x:v>
      </x:c>
      <x:c r="T107" s="29" t="str">
        <x:v>Carlos Pena</x:v>
      </x:c>
      <x:c r="U107" s="29" t="str">
        <x:v>Conciliado</x:v>
      </x:c>
      <x:c r="V107" s="28" t="n">
        <x:v>46191</x:v>
      </x:c>
      <x:c r="W107" s="31" t="n">
        <x:v>0</x:v>
      </x:c>
      <x:c r="X107" s="29" t="str">
        <x:v>Bajo</x:v>
      </x:c>
      <x:c r="Y107" s="29" t="str">
        <x:v>Debito automatico</x:v>
      </x:c>
      <x:c r="Z107" s="29" t="str"/>
      <x:c r="AA107" s="29" t="str">
        <x:v>Si</x:v>
      </x:c>
      <x:c r="AB107" s="32" t="str">
        <x:v>Monto alto</x:v>
      </x:c>
    </x:row>
    <x:row r="108">
      <x:c r="A108" s="27" t="str">
        <x:v>TRX-107</x:v>
      </x:c>
      <x:c r="B108" s="28" t="n">
        <x:v>46171</x:v>
      </x:c>
      <x:c r="C108" s="28" t="n">
        <x:v>46171</x:v>
      </x:c>
      <x:c r="D108" s="29" t="str">
        <x:v>EMP-003</x:v>
      </x:c>
      <x:c r="E108" s="29" t="str">
        <x:v>Insumos Horizonte S.A.</x:v>
      </x:c>
      <x:c r="F108" s="29" t="str">
        <x:v>1003-902244</x:v>
      </x:c>
      <x:c r="G108" s="29" t="str">
        <x:v>Banco Nacional</x:v>
      </x:c>
      <x:c r="H108" s="29" t="str">
        <x:v>Egreso</x:v>
      </x:c>
      <x:c r="I108" s="29" t="str">
        <x:v>Servicios publicos</x:v>
      </x:c>
      <x:c r="J108" s="29" t="str"/>
      <x:c r="K108" s="29" t="str">
        <x:v>PAG-20260107</x:v>
      </x:c>
      <x:c r="L108" s="29" t="str">
        <x:v>COP</x:v>
      </x:c>
      <x:c r="M108" s="30" t="n">
        <x:v>-7781831</x:v>
      </x:c>
      <x:c r="N108" s="30" t="n">
        <x:v>-1478547.89</x:v>
      </x:c>
      <x:c r="O108" s="30" t="n">
        <x:v>-9260378.89</x:v>
      </x:c>
      <x:c r="P108" s="29" t="str">
        <x:v>Tarjeta credito</x:v>
      </x:c>
      <x:c r="Q108" s="29" t="str"/>
      <x:c r="R108" s="29" t="str">
        <x:v>Cali</x:v>
      </x:c>
      <x:c r="S108" s="29" t="str">
        <x:v>Colombia</x:v>
      </x:c>
      <x:c r="T108" s="29" t="str">
        <x:v>Diana Torres</x:v>
      </x:c>
      <x:c r="U108" s="29" t="str">
        <x:v>Conciliado</x:v>
      </x:c>
      <x:c r="V108" s="28" t="n">
        <x:v>46199</x:v>
      </x:c>
      <x:c r="W108" s="31" t="n">
        <x:v>0</x:v>
      </x:c>
      <x:c r="X108" s="29" t="str">
        <x:v>Bajo</x:v>
      </x:c>
      <x:c r="Y108" s="29" t="str">
        <x:v>Caja</x:v>
      </x:c>
      <x:c r="Z108" s="29" t="str"/>
      <x:c r="AA108" s="29" t="str">
        <x:v>Si</x:v>
      </x:c>
      <x:c r="AB108" s="32" t="str">
        <x:v>Monto alto</x:v>
      </x:c>
    </x:row>
    <x:row r="109">
      <x:c r="A109" s="27" t="str">
        <x:v>TRX-108</x:v>
      </x:c>
      <x:c r="B109" s="28" t="n">
        <x:v>46174</x:v>
      </x:c>
      <x:c r="C109" s="28" t="n">
        <x:v>46177</x:v>
      </x:c>
      <x:c r="D109" s="29" t="str">
        <x:v>EMP-001</x:v>
      </x:c>
      <x:c r="E109" s="29" t="str">
        <x:v>Nova Retail S.A.S.</x:v>
      </x:c>
      <x:c r="F109" s="29" t="str">
        <x:v>1001-884422</x:v>
      </x:c>
      <x:c r="G109" s="29" t="str">
        <x:v>Banco Andino</x:v>
      </x:c>
      <x:c r="H109" s="29" t="str">
        <x:v>Egreso</x:v>
      </x:c>
      <x:c r="I109" s="29" t="str">
        <x:v>Arriendo</x:v>
      </x:c>
      <x:c r="J109" s="29" t="str">
        <x:v>Cliente Norte S.A.</x:v>
      </x:c>
      <x:c r="K109" s="29" t="str">
        <x:v>PAG-20260108</x:v>
      </x:c>
      <x:c r="L109" s="29" t="str">
        <x:v>COP</x:v>
      </x:c>
      <x:c r="M109" s="30" t="n">
        <x:v>-7853764</x:v>
      </x:c>
      <x:c r="N109" s="30" t="n">
        <x:v>-1492215.16</x:v>
      </x:c>
      <x:c r="O109" s="30" t="n">
        <x:v>-9345979.16</x:v>
      </x:c>
      <x:c r="P109" s="29" t="str">
        <x:v>Cheque</x:v>
      </x:c>
      <x:c r="Q109" s="29" t="str">
        <x:v>Administracion</x:v>
      </x:c>
      <x:c r="R109" s="29" t="str">
        <x:v>Barranquilla</x:v>
      </x:c>
      <x:c r="S109" s="29" t="str">
        <x:v>Colombia</x:v>
      </x:c>
      <x:c r="T109" s="29" t="str">
        <x:v>Felipe Mora</x:v>
      </x:c>
      <x:c r="U109" s="29" t="str">
        <x:v>Pendiente</x:v>
      </x:c>
      <x:c r="V109" s="28" t="n">
        <x:v>46162</x:v>
      </x:c>
      <x:c r="W109" s="31" t="n">
        <x:v>43</x:v>
      </x:c>
      <x:c r="X109" s="29" t="str">
        <x:v>Alto</x:v>
      </x:c>
      <x:c r="Y109" s="29" t="str">
        <x:v>Portal bancario</x:v>
      </x:c>
      <x:c r="Z109" s="29" t="str"/>
      <x:c r="AA109" s="29" t="str">
        <x:v>Si</x:v>
      </x:c>
      <x:c r="AB109" s="32" t="str">
        <x:v>Conciliacion no cerrada; Monto alto</x:v>
      </x:c>
    </x:row>
    <x:row r="110">
      <x:c r="A110" s="27" t="str">
        <x:v>TRX-109</x:v>
      </x:c>
      <x:c r="B110" s="28" t="n">
        <x:v>46177</x:v>
      </x:c>
      <x:c r="C110" s="28" t="n">
        <x:v>46177</x:v>
      </x:c>
      <x:c r="D110" s="29" t="str">
        <x:v>EMP-002</x:v>
      </x:c>
      <x:c r="E110" s="29" t="str">
        <x:v>Logistica Prisma Ltda.</x:v>
      </x:c>
      <x:c r="F110" s="29" t="str">
        <x:v>1002-553311</x:v>
      </x:c>
      <x:c r="G110" s="29" t="str">
        <x:v>Banco Capital</x:v>
      </x:c>
      <x:c r="H110" s="29" t="str">
        <x:v>Egreso</x:v>
      </x:c>
      <x:c r="I110" s="29" t="str">
        <x:v>Reembolso</x:v>
      </x:c>
      <x:c r="J110" s="29" t="str">
        <x:v>Distribuidora Delta</x:v>
      </x:c>
      <x:c r="K110" s="29" t="str">
        <x:v>PAG-20260109</x:v>
      </x:c>
      <x:c r="L110" s="29" t="str">
        <x:v>COP</x:v>
      </x:c>
      <x:c r="M110" s="30" t="n">
        <x:v>-7925697</x:v>
      </x:c>
      <x:c r="N110" s="30" t="n">
        <x:v>0</x:v>
      </x:c>
      <x:c r="O110" s="30" t="n">
        <x:v>-7925697</x:v>
      </x:c>
      <x:c r="P110" s="29" t="str">
        <x:v>Debito automatico</x:v>
      </x:c>
      <x:c r="Q110" s="29" t="str">
        <x:v>Comercial</x:v>
      </x:c>
      <x:c r="R110" s="29" t="str">
        <x:v>Cartagena</x:v>
      </x:c>
      <x:c r="S110" s="29" t="str">
        <x:v>Colombia</x:v>
      </x:c>
      <x:c r="T110" s="29" t="str"/>
      <x:c r="U110" s="29" t="str">
        <x:v>Conciliado</x:v>
      </x:c>
      <x:c r="V110" s="28" t="n">
        <x:v>46170</x:v>
      </x:c>
      <x:c r="W110" s="31" t="n">
        <x:v>0</x:v>
      </x:c>
      <x:c r="X110" s="29" t="str">
        <x:v>Bajo</x:v>
      </x:c>
      <x:c r="Y110" s="29" t="str">
        <x:v>PSE</x:v>
      </x:c>
      <x:c r="Z110" s="29" t="str"/>
      <x:c r="AA110" s="29" t="str">
        <x:v>Si</x:v>
      </x:c>
      <x:c r="AB110" s="32" t="str">
        <x:v>Monto alto</x:v>
      </x:c>
    </x:row>
    <x:row r="111">
      <x:c r="A111" s="27" t="str">
        <x:v>TRX-110</x:v>
      </x:c>
      <x:c r="B111" s="28" t="n">
        <x:v>46180</x:v>
      </x:c>
      <x:c r="C111" s="28" t="n">
        <x:v>46180</x:v>
      </x:c>
      <x:c r="D111" s="29" t="str">
        <x:v>EMP-003</x:v>
      </x:c>
      <x:c r="E111" s="29" t="str">
        <x:v>Insumos Horizonte S.A.</x:v>
      </x:c>
      <x:c r="F111" s="29" t="str">
        <x:v>1003-902244</x:v>
      </x:c>
      <x:c r="G111" s="29" t="str">
        <x:v>Banco Pacifico</x:v>
      </x:c>
      <x:c r="H111" s="29" t="str">
        <x:v>Ingreso</x:v>
      </x:c>
      <x:c r="I111" s="29" t="str">
        <x:v>Credito bancario</x:v>
      </x:c>
      <x:c r="J111" s="29" t="str">
        <x:v>Proveedor Alfa</x:v>
      </x:c>
      <x:c r="K111" s="29" t="str">
        <x:v>FAC-20260110</x:v>
      </x:c>
      <x:c r="L111" s="29" t="str">
        <x:v>COP</x:v>
      </x:c>
      <x:c r="M111" s="30" t="n">
        <x:v>7997630</x:v>
      </x:c>
      <x:c r="N111" s="30" t="n">
        <x:v>0</x:v>
      </x:c>
      <x:c r="O111" s="30" t="n">
        <x:v>7997630</x:v>
      </x:c>
      <x:c r="P111" s="29" t="str">
        <x:v>ACH</x:v>
      </x:c>
      <x:c r="Q111" s="29" t="str">
        <x:v>Operaciones</x:v>
      </x:c>
      <x:c r="R111" s="29" t="str">
        <x:v>Bogota</x:v>
      </x:c>
      <x:c r="S111" s="29" t="str">
        <x:v>Colombia</x:v>
      </x:c>
      <x:c r="T111" s="29" t="str">
        <x:v>Ana Ruiz</x:v>
      </x:c>
      <x:c r="U111" s="29" t="str">
        <x:v>Conciliado</x:v>
      </x:c>
      <x:c r="V111" s="28" t="n">
        <x:v>46178</x:v>
      </x:c>
      <x:c r="W111" s="31" t="n">
        <x:v>0</x:v>
      </x:c>
      <x:c r="X111" s="29" t="str">
        <x:v>Bajo</x:v>
      </x:c>
      <x:c r="Y111" s="29" t="str">
        <x:v>Transferencia</x:v>
      </x:c>
      <x:c r="Z111" s="29" t="str"/>
      <x:c r="AA111" s="29" t="str">
        <x:v>Si</x:v>
      </x:c>
      <x:c r="AB111" s="32" t="str">
        <x:v>Monto alto</x:v>
      </x:c>
    </x:row>
    <x:row r="112">
      <x:c r="A112" s="27" t="str">
        <x:v>TRX-111</x:v>
      </x:c>
      <x:c r="B112" s="28" t="n">
        <x:v>46183</x:v>
      </x:c>
      <x:c r="C112" s="28" t="n">
        <x:v>46183</x:v>
      </x:c>
      <x:c r="D112" s="29" t="str">
        <x:v>EMP-001</x:v>
      </x:c>
      <x:c r="E112" s="29" t="str">
        <x:v>Nova Retail S.A.S.</x:v>
      </x:c>
      <x:c r="F112" s="29" t="str">
        <x:v>1001-884422</x:v>
      </x:c>
      <x:c r="G112" s="29" t="str">
        <x:v>Banco Nacional</x:v>
      </x:c>
      <x:c r="H112" s="29" t="str">
        <x:v>Egreso</x:v>
      </x:c>
      <x:c r="I112" s="29" t="str">
        <x:v>Credito bancario</x:v>
      </x:c>
      <x:c r="J112" s="29" t="str">
        <x:v>Servicios Beta</x:v>
      </x:c>
      <x:c r="K112" s="29" t="str">
        <x:v>PAG-20260111</x:v>
      </x:c>
      <x:c r="L112" s="29" t="str">
        <x:v>COP</x:v>
      </x:c>
      <x:c r="M112" s="30" t="n">
        <x:v>-8069563</x:v>
      </x:c>
      <x:c r="N112" s="30" t="n">
        <x:v>0</x:v>
      </x:c>
      <x:c r="O112" s="30" t="n">
        <x:v>-8069563</x:v>
      </x:c>
      <x:c r="P112" s="29" t="str">
        <x:v>Transferencia local</x:v>
      </x:c>
      <x:c r="Q112" s="29" t="str">
        <x:v>Tecnologia</x:v>
      </x:c>
      <x:c r="R112" s="29" t="str">
        <x:v>Medellin</x:v>
      </x:c>
      <x:c r="S112" s="29" t="str">
        <x:v>Colombia</x:v>
      </x:c>
      <x:c r="T112" s="29" t="str">
        <x:v>Carlos Pena</x:v>
      </x:c>
      <x:c r="U112" s="29" t="str">
        <x:v>Duplicado</x:v>
      </x:c>
      <x:c r="V112" s="28" t="n">
        <x:v>46186</x:v>
      </x:c>
      <x:c r="W112" s="31" t="n">
        <x:v>19</x:v>
      </x:c>
      <x:c r="X112" s="29" t="str">
        <x:v>Bajo</x:v>
      </x:c>
      <x:c r="Y112" s="29" t="str">
        <x:v>Tarjeta</x:v>
      </x:c>
      <x:c r="Z112" s="29" t="str"/>
      <x:c r="AA112" s="29" t="str">
        <x:v>Si</x:v>
      </x:c>
      <x:c r="AB112" s="32" t="str">
        <x:v>Conciliacion no cerrada; Monto alto</x:v>
      </x:c>
    </x:row>
    <x:row r="113">
      <x:c r="A113" s="27" t="str">
        <x:v>TRX-112</x:v>
      </x:c>
      <x:c r="B113" s="28" t="n">
        <x:v>46186</x:v>
      </x:c>
      <x:c r="C113" s="28" t="n">
        <x:v>46187</x:v>
      </x:c>
      <x:c r="D113" s="29" t="str">
        <x:v>EMP-003</x:v>
      </x:c>
      <x:c r="E113" s="29" t="str">
        <x:v>Insumos Horizonte S.A.</x:v>
      </x:c>
      <x:c r="F113" s="29" t="str">
        <x:v>1003-902244</x:v>
      </x:c>
      <x:c r="G113" s="29" t="str">
        <x:v>Banco Andino</x:v>
      </x:c>
      <x:c r="H113" s="29" t="str">
        <x:v>Ingreso</x:v>
      </x:c>
      <x:c r="I113" s="29" t="str">
        <x:v>Venta internacional</x:v>
      </x:c>
      <x:c r="J113" s="29" t="str">
        <x:v>Aduanas Global</x:v>
      </x:c>
      <x:c r="K113" s="29" t="str">
        <x:v>FAC-20260112</x:v>
      </x:c>
      <x:c r="L113" s="29" t="str">
        <x:v>COP</x:v>
      </x:c>
      <x:c r="M113" s="30" t="n">
        <x:v>8141496</x:v>
      </x:c>
      <x:c r="N113" s="30" t="n">
        <x:v>0</x:v>
      </x:c>
      <x:c r="O113" s="30" t="n">
        <x:v>8141496</x:v>
      </x:c>
      <x:c r="P113" s="29" t="str">
        <x:v>Tarjeta credito</x:v>
      </x:c>
      <x:c r="Q113" s="29" t="str">
        <x:v>Finanzas</x:v>
      </x:c>
      <x:c r="R113" s="29" t="str">
        <x:v>Cali</x:v>
      </x:c>
      <x:c r="S113" s="29" t="str">
        <x:v>Colombia</x:v>
      </x:c>
      <x:c r="T113" s="29" t="str">
        <x:v>Diana Torres</x:v>
      </x:c>
      <x:c r="U113" s="29" t="str">
        <x:v>Pendiente</x:v>
      </x:c>
      <x:c r="V113" s="28" t="n">
        <x:v>46194</x:v>
      </x:c>
      <x:c r="W113" s="31" t="n">
        <x:v>11</x:v>
      </x:c>
      <x:c r="X113" s="29" t="str">
        <x:v>Bajo</x:v>
      </x:c>
      <x:c r="Y113" s="29" t="str">
        <x:v>Debito automatico</x:v>
      </x:c>
      <x:c r="Z113" s="29" t="str"/>
      <x:c r="AA113" s="29" t="str">
        <x:v>Si</x:v>
      </x:c>
      <x:c r="AB113" s="32" t="str">
        <x:v>Conciliacion no cerrada; Monto alto</x:v>
      </x:c>
    </x:row>
    <x:row r="114">
      <x:c r="A114" s="27" t="str">
        <x:v>TRX-113</x:v>
      </x:c>
      <x:c r="B114" s="28" t="n">
        <x:v>46189</x:v>
      </x:c>
      <x:c r="C114" s="28" t="n">
        <x:v>46189</x:v>
      </x:c>
      <x:c r="D114" s="29" t="str">
        <x:v>EMP-001</x:v>
      </x:c>
      <x:c r="E114" s="29" t="str">
        <x:v>Nova Retail S.A.S.</x:v>
      </x:c>
      <x:c r="F114" s="29" t="str">
        <x:v>1001-884422</x:v>
      </x:c>
      <x:c r="G114" s="29" t="str">
        <x:v>Banco Capital</x:v>
      </x:c>
      <x:c r="H114" s="29" t="str">
        <x:v>Egreso</x:v>
      </x:c>
      <x:c r="I114" s="29" t="str">
        <x:v>Nomina</x:v>
      </x:c>
      <x:c r="J114" s="29" t="str">
        <x:v>Energia Urbana</x:v>
      </x:c>
      <x:c r="K114" s="29" t="str">
        <x:v>NOM-20260113</x:v>
      </x:c>
      <x:c r="L114" s="29" t="str">
        <x:v>COP</x:v>
      </x:c>
      <x:c r="M114" s="30" t="n">
        <x:v>-8213429</x:v>
      </x:c>
      <x:c r="N114" s="30" t="n">
        <x:v>0</x:v>
      </x:c>
      <x:c r="O114" s="30" t="n">
        <x:v>-8213429</x:v>
      </x:c>
      <x:c r="P114" s="29" t="str">
        <x:v>Cheque</x:v>
      </x:c>
      <x:c r="Q114" s="29" t="str"/>
      <x:c r="R114" s="29" t="str">
        <x:v>Barranquilla</x:v>
      </x:c>
      <x:c r="S114" s="29" t="str">
        <x:v>Colombia</x:v>
      </x:c>
      <x:c r="T114" s="29" t="str">
        <x:v>Felipe Mora</x:v>
      </x:c>
      <x:c r="U114" s="29" t="str">
        <x:v>Conciliado</x:v>
      </x:c>
      <x:c r="V114" s="28" t="n">
        <x:v>46202</x:v>
      </x:c>
      <x:c r="W114" s="31" t="n">
        <x:v>0</x:v>
      </x:c>
      <x:c r="X114" s="29" t="str">
        <x:v>Bajo</x:v>
      </x:c>
      <x:c r="Y114" s="29" t="str">
        <x:v>Caja</x:v>
      </x:c>
      <x:c r="Z114" s="29" t="str"/>
      <x:c r="AA114" s="29" t="str">
        <x:v>Si</x:v>
      </x:c>
      <x:c r="AB114" s="32" t="str">
        <x:v>Monto alto</x:v>
      </x:c>
    </x:row>
    <x:row r="115">
      <x:c r="A115" s="27" t="str">
        <x:v>TRX-114</x:v>
      </x:c>
      <x:c r="B115" s="28" t="n">
        <x:v>46192</x:v>
      </x:c>
      <x:c r="C115" s="28" t="n">
        <x:v>46195</x:v>
      </x:c>
      <x:c r="D115" s="29" t="str">
        <x:v>EMP-002</x:v>
      </x:c>
      <x:c r="E115" s="29" t="str">
        <x:v>Logistica Prisma Ltda.</x:v>
      </x:c>
      <x:c r="F115" s="29" t="str">
        <x:v>1002-553311</x:v>
      </x:c>
      <x:c r="G115" s="29" t="str">
        <x:v>Banco Pacifico</x:v>
      </x:c>
      <x:c r="H115" s="29" t="str">
        <x:v>Egreso</x:v>
      </x:c>
      <x:c r="I115" s="29" t="str">
        <x:v>Impuestos</x:v>
      </x:c>
      <x:c r="J115" s="29" t="str">
        <x:v>Talento Humano</x:v>
      </x:c>
      <x:c r="K115" s="29" t="str">
        <x:v>PAG-20260114</x:v>
      </x:c>
      <x:c r="L115" s="29" t="str">
        <x:v>COP</x:v>
      </x:c>
      <x:c r="M115" s="30" t="n">
        <x:v>-8285362</x:v>
      </x:c>
      <x:c r="N115" s="30" t="n">
        <x:v>0</x:v>
      </x:c>
      <x:c r="O115" s="30" t="n">
        <x:v>-8285362</x:v>
      </x:c>
      <x:c r="P115" s="29" t="str">
        <x:v>Debito automatico</x:v>
      </x:c>
      <x:c r="Q115" s="29" t="str">
        <x:v>Administracion</x:v>
      </x:c>
      <x:c r="R115" s="29" t="str">
        <x:v>Cartagena</x:v>
      </x:c>
      <x:c r="S115" s="29" t="str">
        <x:v>Colombia</x:v>
      </x:c>
      <x:c r="T115" s="29" t="str"/>
      <x:c r="U115" s="29" t="str">
        <x:v>Rechazado</x:v>
      </x:c>
      <x:c r="V115" s="28" t="n">
        <x:v>46210</x:v>
      </x:c>
      <x:c r="W115" s="31" t="n">
        <x:v>0</x:v>
      </x:c>
      <x:c r="X115" s="29" t="str">
        <x:v>Medio</x:v>
      </x:c>
      <x:c r="Y115" s="29" t="str">
        <x:v>Portal bancario</x:v>
      </x:c>
      <x:c r="Z115" s="29" t="str"/>
      <x:c r="AA115" s="29" t="str">
        <x:v>Si</x:v>
      </x:c>
      <x:c r="AB115" s="32" t="str">
        <x:v>Conciliacion no cerrada; Monto alto</x:v>
      </x:c>
    </x:row>
    <x:row r="116">
      <x:c r="A116" s="27" t="str">
        <x:v>TRX-115</x:v>
      </x:c>
      <x:c r="B116" s="28" t="n">
        <x:v>46195</x:v>
      </x:c>
      <x:c r="C116" s="28" t="n">
        <x:v>46195</x:v>
      </x:c>
      <x:c r="D116" s="29" t="str">
        <x:v>EMP-003</x:v>
      </x:c>
      <x:c r="E116" s="29" t="str">
        <x:v>Insumos Horizonte S.A.</x:v>
      </x:c>
      <x:c r="F116" s="29" t="str">
        <x:v>1003-902244</x:v>
      </x:c>
      <x:c r="G116" s="29" t="str">
        <x:v>Banco Nacional</x:v>
      </x:c>
      <x:c r="H116" s="29" t="str">
        <x:v>Ingreso</x:v>
      </x:c>
      <x:c r="I116" s="29" t="str">
        <x:v>Venta internacional</x:v>
      </x:c>
      <x:c r="J116" s="29" t="str">
        <x:v>Arrendadora Centro</x:v>
      </x:c>
      <x:c r="K116" s="29" t="str"/>
      <x:c r="L116" s="29" t="str">
        <x:v>COP</x:v>
      </x:c>
      <x:c r="M116" s="30" t="n">
        <x:v>8357295</x:v>
      </x:c>
      <x:c r="N116" s="30" t="n">
        <x:v>0</x:v>
      </x:c>
      <x:c r="O116" s="30" t="n">
        <x:v>8357295</x:v>
      </x:c>
      <x:c r="P116" s="29" t="str">
        <x:v>ACH</x:v>
      </x:c>
      <x:c r="Q116" s="29" t="str">
        <x:v>Comercial</x:v>
      </x:c>
      <x:c r="R116" s="29" t="str">
        <x:v>Bogota</x:v>
      </x:c>
      <x:c r="S116" s="29" t="str">
        <x:v>Colombia</x:v>
      </x:c>
      <x:c r="T116" s="29" t="str">
        <x:v>Ana Ruiz</x:v>
      </x:c>
      <x:c r="U116" s="29" t="str">
        <x:v>Conciliado</x:v>
      </x:c>
      <x:c r="V116" s="28" t="n">
        <x:v>46218</x:v>
      </x:c>
      <x:c r="W116" s="31" t="n">
        <x:v>0</x:v>
      </x:c>
      <x:c r="X116" s="29" t="str">
        <x:v>Bajo</x:v>
      </x:c>
      <x:c r="Y116" s="29" t="str">
        <x:v>PSE</x:v>
      </x:c>
      <x:c r="Z116" s="29" t="str">
        <x:v>Soporte pendiente</x:v>
      </x:c>
      <x:c r="AA116" s="29" t="str">
        <x:v>Si</x:v>
      </x:c>
      <x:c r="AB116" s="32" t="str">
        <x:v>Monto alto; Documento faltante</x:v>
      </x:c>
    </x:row>
    <x:row r="117">
      <x:c r="A117" s="27" t="str">
        <x:v>TRX-116</x:v>
      </x:c>
      <x:c r="B117" s="28" t="n">
        <x:v>46198</x:v>
      </x:c>
      <x:c r="C117" s="28" t="n">
        <x:v>46199</x:v>
      </x:c>
      <x:c r="D117" s="29" t="str">
        <x:v>EMP-001</x:v>
      </x:c>
      <x:c r="E117" s="29" t="str">
        <x:v>Nova Retail S.A.S.</x:v>
      </x:c>
      <x:c r="F117" s="29" t="str">
        <x:v>1001-884422</x:v>
      </x:c>
      <x:c r="G117" s="29" t="str">
        <x:v>Banco Andino</x:v>
      </x:c>
      <x:c r="H117" s="29" t="str">
        <x:v>Egreso</x:v>
      </x:c>
      <x:c r="I117" s="29" t="str">
        <x:v>Arriendo</x:v>
      </x:c>
      <x:c r="J117" s="29" t="str">
        <x:v>Financiera Sur</x:v>
      </x:c>
      <x:c r="K117" s="29" t="str">
        <x:v>PAG-20260116</x:v>
      </x:c>
      <x:c r="L117" s="29" t="str">
        <x:v>COP</x:v>
      </x:c>
      <x:c r="M117" s="30" t="n">
        <x:v>-8429228</x:v>
      </x:c>
      <x:c r="N117" s="30" t="n">
        <x:v>-1601553.32</x:v>
      </x:c>
      <x:c r="O117" s="30" t="n">
        <x:v>-10030781.32</x:v>
      </x:c>
      <x:c r="P117" s="29" t="str">
        <x:v>Transferencia local</x:v>
      </x:c>
      <x:c r="Q117" s="29" t="str">
        <x:v>Operaciones</x:v>
      </x:c>
      <x:c r="R117" s="29" t="str">
        <x:v>Medellin</x:v>
      </x:c>
      <x:c r="S117" s="29" t="str">
        <x:v>Colombia</x:v>
      </x:c>
      <x:c r="T117" s="29" t="str"/>
      <x:c r="U117" s="29" t="str">
        <x:v>Pendiente</x:v>
      </x:c>
      <x:c r="V117" s="28" t="n">
        <x:v>46226</x:v>
      </x:c>
      <x:c r="W117" s="31" t="n">
        <x:v>0</x:v>
      </x:c>
      <x:c r="X117" s="29" t="str">
        <x:v>Bajo</x:v>
      </x:c>
      <x:c r="Y117" s="29" t="str">
        <x:v>Transferencia</x:v>
      </x:c>
      <x:c r="Z117" s="29" t="str"/>
      <x:c r="AA117" s="29" t="str">
        <x:v>Si</x:v>
      </x:c>
      <x:c r="AB117" s="32" t="str">
        <x:v>Conciliacion no cerrada; Monto alto; Responsable vacio</x:v>
      </x:c>
    </x:row>
    <x:row r="118">
      <x:c r="A118" s="27" t="str">
        <x:v>TRX-117</x:v>
      </x:c>
      <x:c r="B118" s="28" t="n">
        <x:v>46201</x:v>
      </x:c>
      <x:c r="C118" s="28" t="n">
        <x:v>46201</x:v>
      </x:c>
      <x:c r="D118" s="29" t="str">
        <x:v>EMP-002</x:v>
      </x:c>
      <x:c r="E118" s="29" t="str">
        <x:v>Logistica Prisma Ltda.</x:v>
      </x:c>
      <x:c r="F118" s="29" t="str">
        <x:v>1002-553311</x:v>
      </x:c>
      <x:c r="G118" s="29" t="str">
        <x:v>Banco Capital</x:v>
      </x:c>
      <x:c r="H118" s="29" t="str">
        <x:v>Egreso</x:v>
      </x:c>
      <x:c r="I118" s="29" t="str">
        <x:v>Reembolso</x:v>
      </x:c>
      <x:c r="J118" s="29" t="str">
        <x:v>Cliente Express</x:v>
      </x:c>
      <x:c r="K118" s="29" t="str">
        <x:v>PAG-20260117</x:v>
      </x:c>
      <x:c r="L118" s="29" t="str">
        <x:v>COP</x:v>
      </x:c>
      <x:c r="M118" s="30" t="n">
        <x:v>-8501161</x:v>
      </x:c>
      <x:c r="N118" s="30" t="n">
        <x:v>0</x:v>
      </x:c>
      <x:c r="O118" s="30" t="n">
        <x:v>-8501161</x:v>
      </x:c>
      <x:c r="P118" s="29" t="str">
        <x:v>Tarjeta credito</x:v>
      </x:c>
      <x:c r="Q118" s="29" t="str">
        <x:v>Tecnologia</x:v>
      </x:c>
      <x:c r="R118" s="29" t="str">
        <x:v>Cali</x:v>
      </x:c>
      <x:c r="S118" s="29" t="str">
        <x:v>Colombia</x:v>
      </x:c>
      <x:c r="T118" s="29" t="str">
        <x:v>Diana Torres</x:v>
      </x:c>
      <x:c r="U118" s="29" t="str">
        <x:v>Diferencia</x:v>
      </x:c>
      <x:c r="V118" s="28" t="n">
        <x:v>46189</x:v>
      </x:c>
      <x:c r="W118" s="31" t="n">
        <x:v>16</x:v>
      </x:c>
      <x:c r="X118" s="29" t="str">
        <x:v>Medio</x:v>
      </x:c>
      <x:c r="Y118" s="29" t="str">
        <x:v>Tarjeta</x:v>
      </x:c>
      <x:c r="Z118" s="29" t="str"/>
      <x:c r="AA118" s="29" t="str">
        <x:v>Si</x:v>
      </x:c>
      <x:c r="AB118" s="32" t="str">
        <x:v>Conciliacion no cerrada; Monto alto</x:v>
      </x:c>
    </x:row>
    <x:row r="119">
      <x:c r="A119" s="27" t="str">
        <x:v>TRX-118</x:v>
      </x:c>
      <x:c r="B119" s="28" t="n">
        <x:v>46028</x:v>
      </x:c>
      <x:c r="C119" s="28" t="n">
        <x:v>46028</x:v>
      </x:c>
      <x:c r="D119" s="29" t="str">
        <x:v>EMP-003</x:v>
      </x:c>
      <x:c r="E119" s="29" t="str">
        <x:v>Insumos Horizonte S.A.</x:v>
      </x:c>
      <x:c r="F119" s="29" t="str">
        <x:v>1003-902244</x:v>
      </x:c>
      <x:c r="G119" s="29" t="str">
        <x:v>Banco Pacifico</x:v>
      </x:c>
      <x:c r="H119" s="29" t="str">
        <x:v>Egreso</x:v>
      </x:c>
      <x:c r="I119" s="29" t="str">
        <x:v>Comision bancaria</x:v>
      </x:c>
      <x:c r="J119" s="29" t="str"/>
      <x:c r="K119" s="29" t="str">
        <x:v>PAG-20260118</x:v>
      </x:c>
      <x:c r="L119" s="29" t="str">
        <x:v>COP</x:v>
      </x:c>
      <x:c r="M119" s="30" t="n">
        <x:v>-8573094</x:v>
      </x:c>
      <x:c r="N119" s="30" t="n">
        <x:v>0</x:v>
      </x:c>
      <x:c r="O119" s="30" t="n">
        <x:v>-8573094</x:v>
      </x:c>
      <x:c r="P119" s="29" t="str">
        <x:v>Cheque</x:v>
      </x:c>
      <x:c r="Q119" s="29" t="str">
        <x:v>Finanzas</x:v>
      </x:c>
      <x:c r="R119" s="29" t="str">
        <x:v>Barranquilla</x:v>
      </x:c>
      <x:c r="S119" s="29" t="str">
        <x:v>Colombia</x:v>
      </x:c>
      <x:c r="T119" s="29" t="str">
        <x:v>Felipe Mora</x:v>
      </x:c>
      <x:c r="U119" s="29" t="str">
        <x:v>Conciliado</x:v>
      </x:c>
      <x:c r="V119" s="28" t="n">
        <x:v>46021</x:v>
      </x:c>
      <x:c r="W119" s="31" t="n">
        <x:v>0</x:v>
      </x:c>
      <x:c r="X119" s="29" t="str">
        <x:v>Bajo</x:v>
      </x:c>
      <x:c r="Y119" s="29" t="str">
        <x:v>Debito automatico</x:v>
      </x:c>
      <x:c r="Z119" s="29" t="str"/>
      <x:c r="AA119" s="29" t="str">
        <x:v>Si</x:v>
      </x:c>
      <x:c r="AB119" s="32" t="str">
        <x:v>Monto alto</x:v>
      </x:c>
    </x:row>
    <x:row r="120">
      <x:c r="A120" s="27" t="str">
        <x:v>TRX-119</x:v>
      </x:c>
      <x:c r="B120" s="28" t="n">
        <x:v>46031</x:v>
      </x:c>
      <x:c r="C120" s="28" t="n">
        <x:v>46031</x:v>
      </x:c>
      <x:c r="D120" s="29" t="str">
        <x:v>EMP-002</x:v>
      </x:c>
      <x:c r="E120" s="29" t="str">
        <x:v>Logistica Prisma Ltda.</x:v>
      </x:c>
      <x:c r="F120" s="29" t="str">
        <x:v>1002-553311</x:v>
      </x:c>
      <x:c r="G120" s="29" t="str">
        <x:v>Banco Nacional</x:v>
      </x:c>
      <x:c r="H120" s="29" t="str">
        <x:v>Ingreso</x:v>
      </x:c>
      <x:c r="I120" s="29" t="str">
        <x:v>Credito bancario</x:v>
      </x:c>
      <x:c r="J120" s="29" t="str">
        <x:v>Cliente Norte S.A.</x:v>
      </x:c>
      <x:c r="K120" s="29" t="str">
        <x:v>FAC-20260119</x:v>
      </x:c>
      <x:c r="L120" s="29" t="str">
        <x:v>COP</x:v>
      </x:c>
      <x:c r="M120" s="30" t="n">
        <x:v>8645027</x:v>
      </x:c>
      <x:c r="N120" s="30" t="n">
        <x:v>0</x:v>
      </x:c>
      <x:c r="O120" s="30" t="n">
        <x:v>8645027</x:v>
      </x:c>
      <x:c r="P120" s="29" t="str">
        <x:v>Debito automatico</x:v>
      </x:c>
      <x:c r="Q120" s="29" t="str"/>
      <x:c r="R120" s="29" t="str">
        <x:v>Cartagena</x:v>
      </x:c>
      <x:c r="S120" s="29" t="str">
        <x:v>Colombia</x:v>
      </x:c>
      <x:c r="T120" s="29" t="str"/>
      <x:c r="U120" s="29" t="str">
        <x:v>Conciliado</x:v>
      </x:c>
      <x:c r="V120" s="28" t="n">
        <x:v>46029</x:v>
      </x:c>
      <x:c r="W120" s="31" t="n">
        <x:v>0</x:v>
      </x:c>
      <x:c r="X120" s="29" t="str">
        <x:v>Bajo</x:v>
      </x:c>
      <x:c r="Y120" s="29" t="str">
        <x:v>Caja</x:v>
      </x:c>
      <x:c r="Z120" s="29" t="str">
        <x:v>Valor reportado por banco no coincide con ERP</x:v>
      </x:c>
      <x:c r="AA120" s="29" t="str">
        <x:v>Si</x:v>
      </x:c>
      <x:c r="AB120" s="32" t="str">
        <x:v>Monto alto</x:v>
      </x:c>
    </x:row>
    <x:row r="121">
      <x:c r="A121" s="27" t="str">
        <x:v>TRX-120</x:v>
      </x:c>
      <x:c r="B121" s="28" t="n">
        <x:v>46034</x:v>
      </x:c>
      <x:c r="C121" s="28" t="n">
        <x:v>46037</x:v>
      </x:c>
      <x:c r="D121" s="29" t="str">
        <x:v>EMP-003</x:v>
      </x:c>
      <x:c r="E121" s="29" t="str">
        <x:v>Insumos Horizonte S.A.</x:v>
      </x:c>
      <x:c r="F121" s="29" t="str">
        <x:v>1003-902244</x:v>
      </x:c>
      <x:c r="G121" s="29" t="str">
        <x:v>Banco Andino</x:v>
      </x:c>
      <x:c r="H121" s="29" t="str">
        <x:v>Ingreso</x:v>
      </x:c>
      <x:c r="I121" s="29" t="str">
        <x:v>Venta nacional</x:v>
      </x:c>
      <x:c r="J121" s="29" t="str">
        <x:v>Distribuidora Delta</x:v>
      </x:c>
      <x:c r="K121" s="29" t="str">
        <x:v>FAC-20260120</x:v>
      </x:c>
      <x:c r="L121" s="29" t="str">
        <x:v>COP</x:v>
      </x:c>
      <x:c r="M121" s="30" t="n">
        <x:v>8716960</x:v>
      </x:c>
      <x:c r="N121" s="30" t="n">
        <x:v>1656222.4</x:v>
      </x:c>
      <x:c r="O121" s="30" t="n">
        <x:v>10373182.4</x:v>
      </x:c>
      <x:c r="P121" s="29" t="str">
        <x:v>ACH</x:v>
      </x:c>
      <x:c r="Q121" s="29" t="str">
        <x:v>Administracion</x:v>
      </x:c>
      <x:c r="R121" s="29" t="str">
        <x:v>Bogota</x:v>
      </x:c>
      <x:c r="S121" s="29" t="str">
        <x:v>Colombia</x:v>
      </x:c>
      <x:c r="T121" s="29" t="str">
        <x:v>Ana Ruiz</x:v>
      </x:c>
      <x:c r="U121" s="29" t="str">
        <x:v>Pendiente</x:v>
      </x:c>
      <x:c r="V121" s="28" t="n">
        <x:v>46037</x:v>
      </x:c>
      <x:c r="W121" s="31" t="n">
        <x:v>168</x:v>
      </x:c>
      <x:c r="X121" s="29" t="str">
        <x:v>Alto</x:v>
      </x:c>
      <x:c r="Y121" s="29" t="str">
        <x:v>Portal bancario</x:v>
      </x:c>
      <x:c r="Z121" s="29" t="str"/>
      <x:c r="AA121" s="29" t="str">
        <x:v>Si</x:v>
      </x:c>
      <x:c r="AB121" s="32" t="str">
        <x:v>Conciliacion no cerrada; Monto alto</x:v>
      </x:c>
    </x:row>
    <x:row r="122">
      <x:c r="A122" s="27" t="str">
        <x:v>TRX-121</x:v>
      </x:c>
      <x:c r="B122" s="28" t="n">
        <x:v>46037</x:v>
      </x:c>
      <x:c r="C122" s="28" t="n">
        <x:v>46037</x:v>
      </x:c>
      <x:c r="D122" s="29" t="str">
        <x:v>EMP-001</x:v>
      </x:c>
      <x:c r="E122" s="29" t="str">
        <x:v>Nova Retail S.A.S.</x:v>
      </x:c>
      <x:c r="F122" s="29" t="str">
        <x:v>1001-884422</x:v>
      </x:c>
      <x:c r="G122" s="29" t="str">
        <x:v>Banco Capital</x:v>
      </x:c>
      <x:c r="H122" s="29" t="str">
        <x:v>Ingreso</x:v>
      </x:c>
      <x:c r="I122" s="29" t="str">
        <x:v>Venta internacional</x:v>
      </x:c>
      <x:c r="J122" s="29" t="str">
        <x:v>Proveedor Alfa</x:v>
      </x:c>
      <x:c r="K122" s="29" t="str">
        <x:v>FAC-20260121</x:v>
      </x:c>
      <x:c r="L122" s="29" t="str">
        <x:v>COP</x:v>
      </x:c>
      <x:c r="M122" s="30" t="n">
        <x:v>8788893</x:v>
      </x:c>
      <x:c r="N122" s="30" t="n">
        <x:v>0</x:v>
      </x:c>
      <x:c r="O122" s="30" t="n">
        <x:v>8788893</x:v>
      </x:c>
      <x:c r="P122" s="29" t="str">
        <x:v>Transferencia local</x:v>
      </x:c>
      <x:c r="Q122" s="29" t="str">
        <x:v>Comercial</x:v>
      </x:c>
      <x:c r="R122" s="29" t="str">
        <x:v>Medellin</x:v>
      </x:c>
      <x:c r="S122" s="29" t="str">
        <x:v>Colombia</x:v>
      </x:c>
      <x:c r="T122" s="29" t="str">
        <x:v>Carlos Pena</x:v>
      </x:c>
      <x:c r="U122" s="29" t="str">
        <x:v>Conciliado</x:v>
      </x:c>
      <x:c r="V122" s="28" t="n">
        <x:v>46045</x:v>
      </x:c>
      <x:c r="W122" s="31" t="n">
        <x:v>0</x:v>
      </x:c>
      <x:c r="X122" s="29" t="str">
        <x:v>Bajo</x:v>
      </x:c>
      <x:c r="Y122" s="29" t="str">
        <x:v>PSE</x:v>
      </x:c>
      <x:c r="Z122" s="29" t="str"/>
      <x:c r="AA122" s="29" t="str">
        <x:v>Si</x:v>
      </x:c>
      <x:c r="AB122" s="32" t="str">
        <x:v>Monto alto</x:v>
      </x:c>
    </x:row>
    <x:row r="123">
      <x:c r="A123" s="27" t="str">
        <x:v>TRX-122</x:v>
      </x:c>
      <x:c r="B123" s="28" t="n">
        <x:v>46040</x:v>
      </x:c>
      <x:c r="C123" s="28" t="n">
        <x:v>46040</x:v>
      </x:c>
      <x:c r="D123" s="29" t="str">
        <x:v>EMP-002</x:v>
      </x:c>
      <x:c r="E123" s="29" t="str">
        <x:v>Logistica Prisma Ltda.</x:v>
      </x:c>
      <x:c r="F123" s="29" t="str">
        <x:v>1002-553311</x:v>
      </x:c>
      <x:c r="G123" s="29" t="str">
        <x:v>Banco Pacifico</x:v>
      </x:c>
      <x:c r="H123" s="29" t="str">
        <x:v>Egreso</x:v>
      </x:c>
      <x:c r="I123" s="29" t="str">
        <x:v>Impuestos</x:v>
      </x:c>
      <x:c r="J123" s="29" t="str">
        <x:v>Servicios Beta</x:v>
      </x:c>
      <x:c r="K123" s="29" t="str">
        <x:v>PAG-20260122</x:v>
      </x:c>
      <x:c r="L123" s="29" t="str">
        <x:v>COP</x:v>
      </x:c>
      <x:c r="M123" s="30" t="n">
        <x:v>-8860826</x:v>
      </x:c>
      <x:c r="N123" s="30" t="n">
        <x:v>0</x:v>
      </x:c>
      <x:c r="O123" s="30" t="n">
        <x:v>-8860826</x:v>
      </x:c>
      <x:c r="P123" s="29" t="str">
        <x:v>Tarjeta credito</x:v>
      </x:c>
      <x:c r="Q123" s="29" t="str">
        <x:v>Operaciones</x:v>
      </x:c>
      <x:c r="R123" s="29" t="str">
        <x:v>Cali</x:v>
      </x:c>
      <x:c r="S123" s="29" t="str">
        <x:v>Colombia</x:v>
      </x:c>
      <x:c r="T123" s="29" t="str">
        <x:v>Diana Torres</x:v>
      </x:c>
      <x:c r="U123" s="29" t="str">
        <x:v>Conciliado</x:v>
      </x:c>
      <x:c r="V123" s="28" t="n">
        <x:v>46053</x:v>
      </x:c>
      <x:c r="W123" s="31" t="n">
        <x:v>0</x:v>
      </x:c>
      <x:c r="X123" s="29" t="str">
        <x:v>Bajo</x:v>
      </x:c>
      <x:c r="Y123" s="29" t="str">
        <x:v>Transferencia</x:v>
      </x:c>
      <x:c r="Z123" s="29" t="str"/>
      <x:c r="AA123" s="29" t="str">
        <x:v>Si</x:v>
      </x:c>
      <x:c r="AB123" s="32" t="str">
        <x:v>Monto alto</x:v>
      </x:c>
    </x:row>
    <x:row r="124">
      <x:c r="A124" s="27" t="str">
        <x:v>TRX-123</x:v>
      </x:c>
      <x:c r="B124" s="28" t="n">
        <x:v>46043</x:v>
      </x:c>
      <x:c r="C124" s="28" t="n">
        <x:v>46043</x:v>
      </x:c>
      <x:c r="D124" s="29" t="str">
        <x:v>EMP-003</x:v>
      </x:c>
      <x:c r="E124" s="29" t="str">
        <x:v>Insumos Horizonte S.A.</x:v>
      </x:c>
      <x:c r="F124" s="29" t="str">
        <x:v>1003-902244</x:v>
      </x:c>
      <x:c r="G124" s="29" t="str">
        <x:v>Banco Nacional</x:v>
      </x:c>
      <x:c r="H124" s="29" t="str">
        <x:v>Egreso</x:v>
      </x:c>
      <x:c r="I124" s="29" t="str">
        <x:v>Servicios publicos</x:v>
      </x:c>
      <x:c r="J124" s="29" t="str">
        <x:v>Aduanas Global</x:v>
      </x:c>
      <x:c r="K124" s="29" t="str">
        <x:v>PAG-20260123</x:v>
      </x:c>
      <x:c r="L124" s="29" t="str">
        <x:v>USD</x:v>
      </x:c>
      <x:c r="M124" s="30" t="n">
        <x:v>-8932759</x:v>
      </x:c>
      <x:c r="N124" s="30" t="n">
        <x:v>-1697224.21</x:v>
      </x:c>
      <x:c r="O124" s="30" t="n">
        <x:v>-10629983.21</x:v>
      </x:c>
      <x:c r="P124" s="29" t="str">
        <x:v>Cheque</x:v>
      </x:c>
      <x:c r="Q124" s="29" t="str">
        <x:v>Tecnologia</x:v>
      </x:c>
      <x:c r="R124" s="29" t="str">
        <x:v>Barranquilla</x:v>
      </x:c>
      <x:c r="S124" s="29" t="str">
        <x:v>Colombia</x:v>
      </x:c>
      <x:c r="T124" s="29" t="str">
        <x:v>Felipe Mora</x:v>
      </x:c>
      <x:c r="U124" s="29" t="str">
        <x:v>Conciliado</x:v>
      </x:c>
      <x:c r="V124" s="28" t="n">
        <x:v>46061</x:v>
      </x:c>
      <x:c r="W124" s="31" t="n">
        <x:v>0</x:v>
      </x:c>
      <x:c r="X124" s="29" t="str">
        <x:v>Bajo</x:v>
      </x:c>
      <x:c r="Y124" s="29" t="str">
        <x:v>Tarjeta</x:v>
      </x:c>
      <x:c r="Z124" s="29" t="str"/>
      <x:c r="AA124" s="29" t="str">
        <x:v>Si</x:v>
      </x:c>
      <x:c r="AB124" s="32" t="str">
        <x:v>Monto alto</x:v>
      </x:c>
    </x:row>
    <x:row r="125">
      <x:c r="A125" s="27" t="str">
        <x:v>TRX-124</x:v>
      </x:c>
      <x:c r="B125" s="28" t="n">
        <x:v>46046</x:v>
      </x:c>
      <x:c r="C125" s="28" t="n">
        <x:v>46047</x:v>
      </x:c>
      <x:c r="D125" s="29" t="str">
        <x:v>EMP-001</x:v>
      </x:c>
      <x:c r="E125" s="29" t="str">
        <x:v>Nova Retail S.A.S.</x:v>
      </x:c>
      <x:c r="F125" s="29" t="str">
        <x:v>1001-884422</x:v>
      </x:c>
      <x:c r="G125" s="29" t="str">
        <x:v>Banco Andino</x:v>
      </x:c>
      <x:c r="H125" s="29" t="str">
        <x:v>Egreso</x:v>
      </x:c>
      <x:c r="I125" s="29" t="str">
        <x:v>Arriendo</x:v>
      </x:c>
      <x:c r="J125" s="29" t="str">
        <x:v>Energia Urbana</x:v>
      </x:c>
      <x:c r="K125" s="29" t="str">
        <x:v>PAG-20260124</x:v>
      </x:c>
      <x:c r="L125" s="29" t="str">
        <x:v>COP</x:v>
      </x:c>
      <x:c r="M125" s="30" t="n">
        <x:v>-9004692</x:v>
      </x:c>
      <x:c r="N125" s="30" t="n">
        <x:v>-1710891.48</x:v>
      </x:c>
      <x:c r="O125" s="30" t="n">
        <x:v>-10715583.48</x:v>
      </x:c>
      <x:c r="P125" s="29" t="str">
        <x:v>Debito automatico</x:v>
      </x:c>
      <x:c r="Q125" s="29" t="str"/>
      <x:c r="R125" s="29" t="str">
        <x:v>Cartagena</x:v>
      </x:c>
      <x:c r="S125" s="29" t="str">
        <x:v>Colombia</x:v>
      </x:c>
      <x:c r="T125" s="29" t="str"/>
      <x:c r="U125" s="29" t="str">
        <x:v>Pendiente</x:v>
      </x:c>
      <x:c r="V125" s="28" t="n">
        <x:v>46069</x:v>
      </x:c>
      <x:c r="W125" s="31" t="n">
        <x:v>136</x:v>
      </x:c>
      <x:c r="X125" s="29" t="str">
        <x:v>Alto</x:v>
      </x:c>
      <x:c r="Y125" s="29" t="str">
        <x:v>Debito automatico</x:v>
      </x:c>
      <x:c r="Z125" s="29" t="str"/>
      <x:c r="AA125" s="29" t="str">
        <x:v>Si</x:v>
      </x:c>
      <x:c r="AB125" s="32" t="str">
        <x:v>Conciliacion no cerrada; Monto alto; Centro de costo vacio</x:v>
      </x:c>
    </x:row>
    <x:row r="126">
      <x:c r="A126" s="27" t="str">
        <x:v>TRX-125</x:v>
      </x:c>
      <x:c r="B126" s="28" t="n">
        <x:v>46049</x:v>
      </x:c>
      <x:c r="C126" s="28" t="n">
        <x:v>46049</x:v>
      </x:c>
      <x:c r="D126" s="29" t="str">
        <x:v>EMP-002</x:v>
      </x:c>
      <x:c r="E126" s="29" t="str">
        <x:v>Logistica Prisma Ltda.</x:v>
      </x:c>
      <x:c r="F126" s="29" t="str">
        <x:v>1002-553311</x:v>
      </x:c>
      <x:c r="G126" s="29" t="str">
        <x:v>Banco Capital</x:v>
      </x:c>
      <x:c r="H126" s="29" t="str">
        <x:v>Ingreso</x:v>
      </x:c>
      <x:c r="I126" s="29" t="str">
        <x:v>Credito bancario</x:v>
      </x:c>
      <x:c r="J126" s="29" t="str">
        <x:v>Talento Humano</x:v>
      </x:c>
      <x:c r="K126" s="29" t="str">
        <x:v>FAC-20260125</x:v>
      </x:c>
      <x:c r="L126" s="29" t="str">
        <x:v>COP</x:v>
      </x:c>
      <x:c r="M126" s="30" t="n">
        <x:v>9076625</x:v>
      </x:c>
      <x:c r="N126" s="30" t="n">
        <x:v>0</x:v>
      </x:c>
      <x:c r="O126" s="30" t="n">
        <x:v>9076625</x:v>
      </x:c>
      <x:c r="P126" s="29" t="str">
        <x:v>ACH</x:v>
      </x:c>
      <x:c r="Q126" s="29" t="str"/>
      <x:c r="R126" s="29" t="str">
        <x:v>Bogota</x:v>
      </x:c>
      <x:c r="S126" s="29" t="str">
        <x:v>Colombia</x:v>
      </x:c>
      <x:c r="T126" s="29" t="str">
        <x:v>Ana Ruiz</x:v>
      </x:c>
      <x:c r="U126" s="29" t="str">
        <x:v>Conciliado</x:v>
      </x:c>
      <x:c r="V126" s="28" t="n">
        <x:v>46077</x:v>
      </x:c>
      <x:c r="W126" s="31" t="n">
        <x:v>0</x:v>
      </x:c>
      <x:c r="X126" s="29" t="str">
        <x:v>Bajo</x:v>
      </x:c>
      <x:c r="Y126" s="29" t="str">
        <x:v>Caja</x:v>
      </x:c>
      <x:c r="Z126" s="29" t="str"/>
      <x:c r="AA126" s="29" t="str">
        <x:v>Si</x:v>
      </x:c>
      <x:c r="AB126" s="32" t="str">
        <x:v>Monto alto</x:v>
      </x:c>
    </x:row>
    <x:row r="127">
      <x:c r="A127" s="27" t="str">
        <x:v>TRX-126</x:v>
      </x:c>
      <x:c r="B127" s="28" t="n">
        <x:v>46052</x:v>
      </x:c>
      <x:c r="C127" s="28" t="n">
        <x:v>46055</x:v>
      </x:c>
      <x:c r="D127" s="29" t="str">
        <x:v>EMP-001</x:v>
      </x:c>
      <x:c r="E127" s="29" t="str">
        <x:v>Nova Retail S.A.S.</x:v>
      </x:c>
      <x:c r="F127" s="29" t="str">
        <x:v>1001-884422</x:v>
      </x:c>
      <x:c r="G127" s="29" t="str">
        <x:v>Banco Pacifico</x:v>
      </x:c>
      <x:c r="H127" s="29" t="str">
        <x:v>Ingreso</x:v>
      </x:c>
      <x:c r="I127" s="29" t="str">
        <x:v>Venta nacional</x:v>
      </x:c>
      <x:c r="J127" s="29" t="str">
        <x:v>Arrendadora Centro</x:v>
      </x:c>
      <x:c r="K127" s="29" t="str">
        <x:v>FAC-20260126</x:v>
      </x:c>
      <x:c r="L127" s="29" t="str">
        <x:v>COP</x:v>
      </x:c>
      <x:c r="M127" s="30" t="n">
        <x:v>9148558</x:v>
      </x:c>
      <x:c r="N127" s="30" t="n">
        <x:v>1738226.02</x:v>
      </x:c>
      <x:c r="O127" s="30" t="n">
        <x:v>10886784.02</x:v>
      </x:c>
      <x:c r="P127" s="29" t="str">
        <x:v>Transferencia local</x:v>
      </x:c>
      <x:c r="Q127" s="29" t="str">
        <x:v>Administracion</x:v>
      </x:c>
      <x:c r="R127" s="29" t="str">
        <x:v>Medellin</x:v>
      </x:c>
      <x:c r="S127" s="29" t="str">
        <x:v>Colombia</x:v>
      </x:c>
      <x:c r="T127" s="29" t="str">
        <x:v>Carlos Pena</x:v>
      </x:c>
      <x:c r="U127" s="29" t="str">
        <x:v>Conciliado</x:v>
      </x:c>
      <x:c r="V127" s="28" t="n">
        <x:v>46040</x:v>
      </x:c>
      <x:c r="W127" s="31" t="n">
        <x:v>0</x:v>
      </x:c>
      <x:c r="X127" s="29" t="str">
        <x:v>Bajo</x:v>
      </x:c>
      <x:c r="Y127" s="29" t="str">
        <x:v>Portal bancario</x:v>
      </x:c>
      <x:c r="Z127" s="29" t="str"/>
      <x:c r="AA127" s="29" t="str">
        <x:v>Si</x:v>
      </x:c>
      <x:c r="AB127" s="32" t="str">
        <x:v>Monto alto</x:v>
      </x:c>
    </x:row>
    <x:row r="128">
      <x:c r="A128" s="27" t="str">
        <x:v>TRX-127</x:v>
      </x:c>
      <x:c r="B128" s="28" t="n">
        <x:v>46055</x:v>
      </x:c>
      <x:c r="C128" s="28" t="n">
        <x:v>46055</x:v>
      </x:c>
      <x:c r="D128" s="29" t="str">
        <x:v>EMP-002</x:v>
      </x:c>
      <x:c r="E128" s="29" t="str">
        <x:v>Logistica Prisma Ltda.</x:v>
      </x:c>
      <x:c r="F128" s="29" t="str">
        <x:v>1002-553311</x:v>
      </x:c>
      <x:c r="G128" s="29" t="str">
        <x:v>Banco Nacional</x:v>
      </x:c>
      <x:c r="H128" s="29" t="str">
        <x:v>Egreso</x:v>
      </x:c>
      <x:c r="I128" s="29" t="str">
        <x:v>Credito bancario</x:v>
      </x:c>
      <x:c r="J128" s="29" t="str">
        <x:v>Financiera Sur</x:v>
      </x:c>
      <x:c r="K128" s="29" t="str">
        <x:v>PAG-20260127</x:v>
      </x:c>
      <x:c r="L128" s="29" t="str">
        <x:v>COP</x:v>
      </x:c>
      <x:c r="M128" s="30" t="n">
        <x:v>-9220491</x:v>
      </x:c>
      <x:c r="N128" s="30" t="n">
        <x:v>0</x:v>
      </x:c>
      <x:c r="O128" s="30" t="n">
        <x:v>-9220491</x:v>
      </x:c>
      <x:c r="P128" s="29" t="str">
        <x:v>Tarjeta credito</x:v>
      </x:c>
      <x:c r="Q128" s="29" t="str">
        <x:v>Comercial</x:v>
      </x:c>
      <x:c r="R128" s="29" t="str">
        <x:v>Cali</x:v>
      </x:c>
      <x:c r="S128" s="29" t="str">
        <x:v>Colombia</x:v>
      </x:c>
      <x:c r="T128" s="29" t="str">
        <x:v>Diana Torres</x:v>
      </x:c>
      <x:c r="U128" s="29" t="str">
        <x:v>Conciliado</x:v>
      </x:c>
      <x:c r="V128" s="28" t="n">
        <x:v>46048</x:v>
      </x:c>
      <x:c r="W128" s="31" t="n">
        <x:v>0</x:v>
      </x:c>
      <x:c r="X128" s="29" t="str">
        <x:v>Bajo</x:v>
      </x:c>
      <x:c r="Y128" s="29" t="str">
        <x:v>PSE</x:v>
      </x:c>
      <x:c r="Z128" s="29" t="str"/>
      <x:c r="AA128" s="29" t="str">
        <x:v>Si</x:v>
      </x:c>
      <x:c r="AB128" s="32" t="str">
        <x:v>Monto alto</x:v>
      </x:c>
    </x:row>
    <x:row r="129">
      <x:c r="A129" s="27" t="str">
        <x:v>TRX-128</x:v>
      </x:c>
      <x:c r="B129" s="28" t="n">
        <x:v>46058</x:v>
      </x:c>
      <x:c r="C129" s="28" t="n">
        <x:v>46059</x:v>
      </x:c>
      <x:c r="D129" s="29" t="str">
        <x:v>EMP-003</x:v>
      </x:c>
      <x:c r="E129" s="29" t="str">
        <x:v>Insumos Horizonte S.A.</x:v>
      </x:c>
      <x:c r="F129" s="29" t="str">
        <x:v>1003-902244</x:v>
      </x:c>
      <x:c r="G129" s="29" t="str">
        <x:v>Banco Andino</x:v>
      </x:c>
      <x:c r="H129" s="29" t="str">
        <x:v>Egreso</x:v>
      </x:c>
      <x:c r="I129" s="29" t="str">
        <x:v>Pago proveedor</x:v>
      </x:c>
      <x:c r="J129" s="29" t="str">
        <x:v>Cliente Express</x:v>
      </x:c>
      <x:c r="K129" s="29" t="str">
        <x:v>PAG-20260128</x:v>
      </x:c>
      <x:c r="L129" s="29" t="str">
        <x:v>COP</x:v>
      </x:c>
      <x:c r="M129" s="30" t="n">
        <x:v>-9292424</x:v>
      </x:c>
      <x:c r="N129" s="30" t="n">
        <x:v>-1765560.56</x:v>
      </x:c>
      <x:c r="O129" s="30" t="n">
        <x:v>-11057984.56</x:v>
      </x:c>
      <x:c r="P129" s="29" t="str">
        <x:v>Cheque</x:v>
      </x:c>
      <x:c r="Q129" s="29" t="str">
        <x:v>Operaciones</x:v>
      </x:c>
      <x:c r="R129" s="29" t="str">
        <x:v>Barranquilla</x:v>
      </x:c>
      <x:c r="S129" s="29" t="str">
        <x:v>Colombia</x:v>
      </x:c>
      <x:c r="T129" s="29" t="str">
        <x:v>Felipe Mora</x:v>
      </x:c>
      <x:c r="U129" s="29" t="str">
        <x:v>Pendiente</x:v>
      </x:c>
      <x:c r="V129" s="28" t="n">
        <x:v>46056</x:v>
      </x:c>
      <x:c r="W129" s="31" t="n">
        <x:v>149</x:v>
      </x:c>
      <x:c r="X129" s="29" t="str">
        <x:v>Alto</x:v>
      </x:c>
      <x:c r="Y129" s="29" t="str">
        <x:v>Transferencia</x:v>
      </x:c>
      <x:c r="Z129" s="29" t="str"/>
      <x:c r="AA129" s="29" t="str">
        <x:v>Si</x:v>
      </x:c>
      <x:c r="AB129" s="32" t="str">
        <x:v>Conciliacion no cerrada; Monto alto</x:v>
      </x:c>
    </x:row>
    <x:row r="130">
      <x:c r="A130" s="27" t="str">
        <x:v>TRX-129</x:v>
      </x:c>
      <x:c r="B130" s="28" t="n">
        <x:v>46061</x:v>
      </x:c>
      <x:c r="C130" s="28" t="n">
        <x:v>46061</x:v>
      </x:c>
      <x:c r="D130" s="29" t="str">
        <x:v>EMP-001</x:v>
      </x:c>
      <x:c r="E130" s="29" t="str">
        <x:v>Nova Retail S.A.S.</x:v>
      </x:c>
      <x:c r="F130" s="29" t="str">
        <x:v>1001-884422</x:v>
      </x:c>
      <x:c r="G130" s="29" t="str">
        <x:v>Banco Capital</x:v>
      </x:c>
      <x:c r="H130" s="29" t="str">
        <x:v>Egreso</x:v>
      </x:c>
      <x:c r="I130" s="29" t="str">
        <x:v>Nomina</x:v>
      </x:c>
      <x:c r="J130" s="29" t="str"/>
      <x:c r="K130" s="29" t="str">
        <x:v>NOM-20260129</x:v>
      </x:c>
      <x:c r="L130" s="29" t="str">
        <x:v>COP</x:v>
      </x:c>
      <x:c r="M130" s="30" t="n">
        <x:v>-9364357</x:v>
      </x:c>
      <x:c r="N130" s="30" t="n">
        <x:v>0</x:v>
      </x:c>
      <x:c r="O130" s="30" t="n">
        <x:v>-9364357</x:v>
      </x:c>
      <x:c r="P130" s="29" t="str">
        <x:v>Debito automatico</x:v>
      </x:c>
      <x:c r="Q130" s="29" t="str">
        <x:v>Tecnologia</x:v>
      </x:c>
      <x:c r="R130" s="29" t="str">
        <x:v>Cartagena</x:v>
      </x:c>
      <x:c r="S130" s="29" t="str">
        <x:v>Colombia</x:v>
      </x:c>
      <x:c r="T130" s="29" t="str"/>
      <x:c r="U130" s="29" t="str">
        <x:v>Conciliado</x:v>
      </x:c>
      <x:c r="V130" s="28" t="n">
        <x:v>46064</x:v>
      </x:c>
      <x:c r="W130" s="31" t="n">
        <x:v>0</x:v>
      </x:c>
      <x:c r="X130" s="29" t="str">
        <x:v>Bajo</x:v>
      </x:c>
      <x:c r="Y130" s="29" t="str">
        <x:v>Tarjeta</x:v>
      </x:c>
      <x:c r="Z130" s="29" t="str"/>
      <x:c r="AA130" s="29" t="str">
        <x:v>Si</x:v>
      </x:c>
      <x:c r="AB130" s="32" t="str">
        <x:v>Monto alto</x:v>
      </x:c>
    </x:row>
    <x:row r="131">
      <x:c r="A131" s="27" t="str">
        <x:v>TRX-130</x:v>
      </x:c>
      <x:c r="B131" s="28" t="n">
        <x:v>46064</x:v>
      </x:c>
      <x:c r="C131" s="28" t="n">
        <x:v>46064</x:v>
      </x:c>
      <x:c r="D131" s="29" t="str">
        <x:v>EMP-002</x:v>
      </x:c>
      <x:c r="E131" s="29" t="str">
        <x:v>Logistica Prisma Ltda.</x:v>
      </x:c>
      <x:c r="F131" s="29" t="str">
        <x:v>1002-553311</x:v>
      </x:c>
      <x:c r="G131" s="29" t="str">
        <x:v>Banco Pacifico</x:v>
      </x:c>
      <x:c r="H131" s="29" t="str">
        <x:v>Ingreso</x:v>
      </x:c>
      <x:c r="I131" s="29" t="str">
        <x:v>Venta internacional</x:v>
      </x:c>
      <x:c r="J131" s="29" t="str">
        <x:v>Cliente Norte S.A.</x:v>
      </x:c>
      <x:c r="K131" s="29" t="str">
        <x:v>FAC-20260130</x:v>
      </x:c>
      <x:c r="L131" s="29" t="str">
        <x:v>COP</x:v>
      </x:c>
      <x:c r="M131" s="30" t="n">
        <x:v>9436290</x:v>
      </x:c>
      <x:c r="N131" s="30" t="n">
        <x:v>0</x:v>
      </x:c>
      <x:c r="O131" s="30" t="n">
        <x:v>9436290</x:v>
      </x:c>
      <x:c r="P131" s="29" t="str">
        <x:v>ACH</x:v>
      </x:c>
      <x:c r="Q131" s="29" t="str">
        <x:v>Finanzas</x:v>
      </x:c>
      <x:c r="R131" s="29" t="str">
        <x:v>Bogota</x:v>
      </x:c>
      <x:c r="S131" s="29" t="str">
        <x:v>Colombia</x:v>
      </x:c>
      <x:c r="T131" s="29" t="str">
        <x:v>Ana Ruiz</x:v>
      </x:c>
      <x:c r="U131" s="29" t="str">
        <x:v>Diferencia</x:v>
      </x:c>
      <x:c r="V131" s="28" t="n">
        <x:v>46072</x:v>
      </x:c>
      <x:c r="W131" s="31" t="n">
        <x:v>133</x:v>
      </x:c>
      <x:c r="X131" s="29" t="str">
        <x:v>Alto</x:v>
      </x:c>
      <x:c r="Y131" s="29" t="str">
        <x:v>Debito automatico</x:v>
      </x:c>
      <x:c r="Z131" s="29" t="str"/>
      <x:c r="AA131" s="29" t="str">
        <x:v>Si</x:v>
      </x:c>
      <x:c r="AB131" s="32" t="str">
        <x:v>Conciliacion no cerrada; Monto alto</x:v>
      </x:c>
    </x:row>
    <x:row r="132">
      <x:c r="A132" s="27" t="str">
        <x:v>TRX-131</x:v>
      </x:c>
      <x:c r="B132" s="28" t="n">
        <x:v>46067</x:v>
      </x:c>
      <x:c r="C132" s="28" t="n">
        <x:v>46067</x:v>
      </x:c>
      <x:c r="D132" s="29" t="str">
        <x:v>EMP-003</x:v>
      </x:c>
      <x:c r="E132" s="29" t="str">
        <x:v>Insumos Horizonte S.A.</x:v>
      </x:c>
      <x:c r="F132" s="29" t="str">
        <x:v>1003-902244</x:v>
      </x:c>
      <x:c r="G132" s="29" t="str">
        <x:v>Banco Nacional</x:v>
      </x:c>
      <x:c r="H132" s="29" t="str">
        <x:v>Egreso</x:v>
      </x:c>
      <x:c r="I132" s="29" t="str">
        <x:v>Servicios publicos</x:v>
      </x:c>
      <x:c r="J132" s="29" t="str">
        <x:v>Distribuidora Delta</x:v>
      </x:c>
      <x:c r="K132" s="29" t="str">
        <x:v>PAG-20260131</x:v>
      </x:c>
      <x:c r="L132" s="29" t="str">
        <x:v>COP</x:v>
      </x:c>
      <x:c r="M132" s="30" t="n">
        <x:v>-108223</x:v>
      </x:c>
      <x:c r="N132" s="30" t="n">
        <x:v>-20562.37</x:v>
      </x:c>
      <x:c r="O132" s="30" t="n">
        <x:v>-128785.37</x:v>
      </x:c>
      <x:c r="P132" s="29" t="str">
        <x:v>Transferencia local</x:v>
      </x:c>
      <x:c r="Q132" s="29" t="str"/>
      <x:c r="R132" s="29" t="str">
        <x:v>Medellin</x:v>
      </x:c>
      <x:c r="S132" s="29" t="str">
        <x:v>Colombia</x:v>
      </x:c>
      <x:c r="T132" s="29" t="str">
        <x:v>Carlos Pena</x:v>
      </x:c>
      <x:c r="U132" s="29" t="str">
        <x:v>Conciliado</x:v>
      </x:c>
      <x:c r="V132" s="28" t="n">
        <x:v>46080</x:v>
      </x:c>
      <x:c r="W132" s="31" t="n">
        <x:v>0</x:v>
      </x:c>
      <x:c r="X132" s="29" t="str">
        <x:v>Bajo</x:v>
      </x:c>
      <x:c r="Y132" s="29" t="str">
        <x:v>Caja</x:v>
      </x:c>
      <x:c r="Z132" s="29" t="str"/>
      <x:c r="AA132" s="29" t="str">
        <x:v>No</x:v>
      </x:c>
      <x:c r="AB132" s="32" t="str"/>
    </x:row>
    <x:row r="133">
      <x:c r="A133" s="27" t="str">
        <x:v>TRX-132</x:v>
      </x:c>
      <x:c r="B133" s="28" t="n">
        <x:v>46070</x:v>
      </x:c>
      <x:c r="C133" s="28" t="n">
        <x:v>46073</x:v>
      </x:c>
      <x:c r="D133" s="29" t="str">
        <x:v>EMP-001</x:v>
      </x:c>
      <x:c r="E133" s="29" t="str">
        <x:v>Nova Retail S.A.S.</x:v>
      </x:c>
      <x:c r="F133" s="29" t="str">
        <x:v>1001-884422</x:v>
      </x:c>
      <x:c r="G133" s="29" t="str">
        <x:v>Banco Andino</x:v>
      </x:c>
      <x:c r="H133" s="29" t="str">
        <x:v>Ingreso</x:v>
      </x:c>
      <x:c r="I133" s="29" t="str">
        <x:v>Venta nacional</x:v>
      </x:c>
      <x:c r="J133" s="29" t="str">
        <x:v>Proveedor Alfa</x:v>
      </x:c>
      <x:c r="K133" s="29" t="str">
        <x:v>FAC-20260132</x:v>
      </x:c>
      <x:c r="L133" s="29" t="str">
        <x:v>COP</x:v>
      </x:c>
      <x:c r="M133" s="30" t="n">
        <x:v>180156</x:v>
      </x:c>
      <x:c r="N133" s="30" t="n">
        <x:v>34229.64</x:v>
      </x:c>
      <x:c r="O133" s="30" t="n">
        <x:v>214385.64</x:v>
      </x:c>
      <x:c r="P133" s="29" t="str">
        <x:v>Tarjeta credito</x:v>
      </x:c>
      <x:c r="Q133" s="29" t="str">
        <x:v>Administracion</x:v>
      </x:c>
      <x:c r="R133" s="29" t="str">
        <x:v>Cali</x:v>
      </x:c>
      <x:c r="S133" s="29" t="str">
        <x:v>Colombia</x:v>
      </x:c>
      <x:c r="T133" s="29" t="str">
        <x:v>Diana Torres</x:v>
      </x:c>
      <x:c r="U133" s="29" t="str">
        <x:v>Pendiente</x:v>
      </x:c>
      <x:c r="V133" s="28" t="n">
        <x:v>46088</x:v>
      </x:c>
      <x:c r="W133" s="31" t="n">
        <x:v>117</x:v>
      </x:c>
      <x:c r="X133" s="29" t="str">
        <x:v>Medio</x:v>
      </x:c>
      <x:c r="Y133" s="29" t="str">
        <x:v>Portal bancario</x:v>
      </x:c>
      <x:c r="Z133" s="29" t="str"/>
      <x:c r="AA133" s="29" t="str">
        <x:v>Si</x:v>
      </x:c>
      <x:c r="AB133" s="32" t="str">
        <x:v>Conciliacion no cerrada</x:v>
      </x:c>
    </x:row>
    <x:row r="134">
      <x:c r="A134" s="27" t="str">
        <x:v>TRX-133</x:v>
      </x:c>
      <x:c r="B134" s="28" t="n">
        <x:v>46073</x:v>
      </x:c>
      <x:c r="C134" s="28" t="n">
        <x:v>46073</x:v>
      </x:c>
      <x:c r="D134" s="29" t="str">
        <x:v>EMP-003</x:v>
      </x:c>
      <x:c r="E134" s="29" t="str">
        <x:v>Insumos Horizonte S.A.</x:v>
      </x:c>
      <x:c r="F134" s="29" t="str">
        <x:v>1003-902244</x:v>
      </x:c>
      <x:c r="G134" s="29" t="str">
        <x:v>Banco Capital</x:v>
      </x:c>
      <x:c r="H134" s="29" t="str">
        <x:v>Ingreso</x:v>
      </x:c>
      <x:c r="I134" s="29" t="str">
        <x:v>Venta internacional</x:v>
      </x:c>
      <x:c r="J134" s="29" t="str">
        <x:v>Servicios Beta</x:v>
      </x:c>
      <x:c r="K134" s="29" t="str">
        <x:v>FAC-20260133</x:v>
      </x:c>
      <x:c r="L134" s="29" t="str">
        <x:v>COP</x:v>
      </x:c>
      <x:c r="M134" s="30" t="n">
        <x:v>252089</x:v>
      </x:c>
      <x:c r="N134" s="30" t="n">
        <x:v>0</x:v>
      </x:c>
      <x:c r="O134" s="30" t="n">
        <x:v>252089</x:v>
      </x:c>
      <x:c r="P134" s="29" t="str">
        <x:v>Cheque</x:v>
      </x:c>
      <x:c r="Q134" s="29" t="str">
        <x:v>Comercial</x:v>
      </x:c>
      <x:c r="R134" s="29" t="str">
        <x:v>Barranquilla</x:v>
      </x:c>
      <x:c r="S134" s="29" t="str">
        <x:v>Colombia</x:v>
      </x:c>
      <x:c r="T134" s="29" t="str">
        <x:v>Felipe Mora</x:v>
      </x:c>
      <x:c r="U134" s="29" t="str">
        <x:v>Rechazado</x:v>
      </x:c>
      <x:c r="V134" s="28" t="n">
        <x:v>46096</x:v>
      </x:c>
      <x:c r="W134" s="31" t="n">
        <x:v>109</x:v>
      </x:c>
      <x:c r="X134" s="29" t="str">
        <x:v>Medio</x:v>
      </x:c>
      <x:c r="Y134" s="29" t="str">
        <x:v>PSE</x:v>
      </x:c>
      <x:c r="Z134" s="29" t="str"/>
      <x:c r="AA134" s="29" t="str">
        <x:v>Si</x:v>
      </x:c>
      <x:c r="AB134" s="32" t="str">
        <x:v>Conciliacion no cerrada</x:v>
      </x:c>
    </x:row>
    <x:row r="135">
      <x:c r="A135" s="27" t="str">
        <x:v>TRX-134</x:v>
      </x:c>
      <x:c r="B135" s="28" t="n">
        <x:v>46076</x:v>
      </x:c>
      <x:c r="C135" s="28" t="n">
        <x:v>46076</x:v>
      </x:c>
      <x:c r="D135" s="29" t="str">
        <x:v>EMP-001</x:v>
      </x:c>
      <x:c r="E135" s="29" t="str">
        <x:v>Nova Retail S.A.S.</x:v>
      </x:c>
      <x:c r="F135" s="29" t="str">
        <x:v>1001-884422</x:v>
      </x:c>
      <x:c r="G135" s="29" t="str">
        <x:v>Banco Pacifico</x:v>
      </x:c>
      <x:c r="H135" s="29" t="str">
        <x:v>Egreso</x:v>
      </x:c>
      <x:c r="I135" s="29" t="str">
        <x:v>Comision bancaria</x:v>
      </x:c>
      <x:c r="J135" s="29" t="str">
        <x:v>Aduanas Global</x:v>
      </x:c>
      <x:c r="K135" s="29" t="str">
        <x:v>PAG-20260134</x:v>
      </x:c>
      <x:c r="L135" s="29" t="str">
        <x:v>COP</x:v>
      </x:c>
      <x:c r="M135" s="30" t="n">
        <x:v>-324022</x:v>
      </x:c>
      <x:c r="N135" s="30" t="n">
        <x:v>0</x:v>
      </x:c>
      <x:c r="O135" s="30" t="n">
        <x:v>-324022</x:v>
      </x:c>
      <x:c r="P135" s="29" t="str">
        <x:v>Debito automatico</x:v>
      </x:c>
      <x:c r="Q135" s="29" t="str">
        <x:v>Operaciones</x:v>
      </x:c>
      <x:c r="R135" s="29" t="str">
        <x:v>Cartagena</x:v>
      </x:c>
      <x:c r="S135" s="29" t="str">
        <x:v>Colombia</x:v>
      </x:c>
      <x:c r="T135" s="29" t="str"/>
      <x:c r="U135" s="29" t="str">
        <x:v>Conciliado</x:v>
      </x:c>
      <x:c r="V135" s="28" t="n">
        <x:v>46104</x:v>
      </x:c>
      <x:c r="W135" s="31" t="n">
        <x:v>0</x:v>
      </x:c>
      <x:c r="X135" s="29" t="str">
        <x:v>Bajo</x:v>
      </x:c>
      <x:c r="Y135" s="29" t="str">
        <x:v>Transferencia</x:v>
      </x:c>
      <x:c r="Z135" s="29" t="str"/>
      <x:c r="AA135" s="29" t="str">
        <x:v>No</x:v>
      </x:c>
      <x:c r="AB135" s="32" t="str"/>
    </x:row>
    <x:row r="136">
      <x:c r="A136" s="27" t="str">
        <x:v>TRX-135</x:v>
      </x:c>
      <x:c r="B136" s="28" t="n">
        <x:v>46079</x:v>
      </x:c>
      <x:c r="C136" s="28" t="n">
        <x:v>46079</x:v>
      </x:c>
      <x:c r="D136" s="29" t="str">
        <x:v>EMP-002</x:v>
      </x:c>
      <x:c r="E136" s="29" t="str">
        <x:v>Logistica Prisma Ltda.</x:v>
      </x:c>
      <x:c r="F136" s="29" t="str">
        <x:v>1002-553311</x:v>
      </x:c>
      <x:c r="G136" s="29" t="str">
        <x:v>Banco Nacional</x:v>
      </x:c>
      <x:c r="H136" s="29" t="str">
        <x:v>Ingreso</x:v>
      </x:c>
      <x:c r="I136" s="29" t="str">
        <x:v>Venta nacional</x:v>
      </x:c>
      <x:c r="J136" s="29" t="str">
        <x:v>Energia Urbana</x:v>
      </x:c>
      <x:c r="K136" s="29" t="str">
        <x:v>FAC-20260135</x:v>
      </x:c>
      <x:c r="L136" s="29" t="str">
        <x:v>COP</x:v>
      </x:c>
      <x:c r="M136" s="30" t="n">
        <x:v>395955</x:v>
      </x:c>
      <x:c r="N136" s="30" t="n">
        <x:v>75231.45</x:v>
      </x:c>
      <x:c r="O136" s="30" t="n">
        <x:v>471186.45</x:v>
      </x:c>
      <x:c r="P136" s="29" t="str">
        <x:v>ACH</x:v>
      </x:c>
      <x:c r="Q136" s="29" t="str">
        <x:v>Tecnologia</x:v>
      </x:c>
      <x:c r="R136" s="29" t="str">
        <x:v>Bogota</x:v>
      </x:c>
      <x:c r="S136" s="29" t="str">
        <x:v>Colombia</x:v>
      </x:c>
      <x:c r="T136" s="29" t="str">
        <x:v>Ana Ruiz</x:v>
      </x:c>
      <x:c r="U136" s="29" t="str">
        <x:v>Conciliado</x:v>
      </x:c>
      <x:c r="V136" s="28" t="n">
        <x:v>46067</x:v>
      </x:c>
      <x:c r="W136" s="31" t="n">
        <x:v>0</x:v>
      </x:c>
      <x:c r="X136" s="29" t="str">
        <x:v>Bajo</x:v>
      </x:c>
      <x:c r="Y136" s="29" t="str">
        <x:v>Tarjeta</x:v>
      </x:c>
      <x:c r="Z136" s="29" t="str"/>
      <x:c r="AA136" s="29" t="str">
        <x:v>No</x:v>
      </x:c>
      <x:c r="AB136" s="32" t="str"/>
    </x:row>
    <x:row r="137">
      <x:c r="A137" s="27" t="str">
        <x:v>TRX-136</x:v>
      </x:c>
      <x:c r="B137" s="28" t="n">
        <x:v>46082</x:v>
      </x:c>
      <x:c r="C137" s="28" t="n">
        <x:v>46083</x:v>
      </x:c>
      <x:c r="D137" s="29" t="str">
        <x:v>EMP-003</x:v>
      </x:c>
      <x:c r="E137" s="29" t="str">
        <x:v>Insumos Horizonte S.A.</x:v>
      </x:c>
      <x:c r="F137" s="29" t="str">
        <x:v>1003-902244</x:v>
      </x:c>
      <x:c r="G137" s="29" t="str">
        <x:v>Banco Andino</x:v>
      </x:c>
      <x:c r="H137" s="29" t="str">
        <x:v>Egreso</x:v>
      </x:c>
      <x:c r="I137" s="29" t="str">
        <x:v>Pago proveedor</x:v>
      </x:c>
      <x:c r="J137" s="29" t="str">
        <x:v>Talento Humano</x:v>
      </x:c>
      <x:c r="K137" s="29" t="str">
        <x:v>PAG-20260136</x:v>
      </x:c>
      <x:c r="L137" s="29" t="str">
        <x:v>COP</x:v>
      </x:c>
      <x:c r="M137" s="30" t="n">
        <x:v>-467888</x:v>
      </x:c>
      <x:c r="N137" s="30" t="n">
        <x:v>-88898.72</x:v>
      </x:c>
      <x:c r="O137" s="30" t="n">
        <x:v>-556786.72</x:v>
      </x:c>
      <x:c r="P137" s="29" t="str">
        <x:v>Transferencia local</x:v>
      </x:c>
      <x:c r="Q137" s="29" t="str">
        <x:v>Finanzas</x:v>
      </x:c>
      <x:c r="R137" s="29" t="str">
        <x:v>Medellin</x:v>
      </x:c>
      <x:c r="S137" s="29" t="str">
        <x:v>Colombia</x:v>
      </x:c>
      <x:c r="T137" s="29" t="str">
        <x:v>Carlos Pena</x:v>
      </x:c>
      <x:c r="U137" s="29" t="str">
        <x:v>Pendiente</x:v>
      </x:c>
      <x:c r="V137" s="28" t="n">
        <x:v>46075</x:v>
      </x:c>
      <x:c r="W137" s="31" t="n">
        <x:v>130</x:v>
      </x:c>
      <x:c r="X137" s="29" t="str">
        <x:v>Medio</x:v>
      </x:c>
      <x:c r="Y137" s="29" t="str">
        <x:v>Debito automatico</x:v>
      </x:c>
      <x:c r="Z137" s="29" t="str">
        <x:v>Valor reportado por banco no coincide con ERP</x:v>
      </x:c>
      <x:c r="AA137" s="29" t="str">
        <x:v>Si</x:v>
      </x:c>
      <x:c r="AB137" s="32" t="str">
        <x:v>Conciliacion no cerrada</x:v>
      </x:c>
    </x:row>
    <x:row r="138">
      <x:c r="A138" s="27" t="str">
        <x:v>TRX-137</x:v>
      </x:c>
      <x:c r="B138" s="28" t="n">
        <x:v>46085</x:v>
      </x:c>
      <x:c r="C138" s="28" t="n">
        <x:v>46085</x:v>
      </x:c>
      <x:c r="D138" s="29" t="str">
        <x:v>EMP-001</x:v>
      </x:c>
      <x:c r="E138" s="29" t="str">
        <x:v>Nova Retail S.A.S.</x:v>
      </x:c>
      <x:c r="F138" s="29" t="str">
        <x:v>1001-884422</x:v>
      </x:c>
      <x:c r="G138" s="29" t="str">
        <x:v>Banco Capital</x:v>
      </x:c>
      <x:c r="H138" s="29" t="str">
        <x:v>Egreso</x:v>
      </x:c>
      <x:c r="I138" s="29" t="str">
        <x:v>Nomina</x:v>
      </x:c>
      <x:c r="J138" s="29" t="str">
        <x:v>Arrendadora Centro</x:v>
      </x:c>
      <x:c r="K138" s="29" t="str">
        <x:v>NOM-20260137</x:v>
      </x:c>
      <x:c r="L138" s="29" t="str">
        <x:v>COP</x:v>
      </x:c>
      <x:c r="M138" s="30" t="n">
        <x:v>-539821</x:v>
      </x:c>
      <x:c r="N138" s="30" t="n">
        <x:v>0</x:v>
      </x:c>
      <x:c r="O138" s="30" t="n">
        <x:v>-539821</x:v>
      </x:c>
      <x:c r="P138" s="29" t="str">
        <x:v>Tarjeta credito</x:v>
      </x:c>
      <x:c r="Q138" s="29" t="str"/>
      <x:c r="R138" s="29" t="str">
        <x:v>Cali</x:v>
      </x:c>
      <x:c r="S138" s="29" t="str">
        <x:v>Colombia</x:v>
      </x:c>
      <x:c r="T138" s="29" t="str">
        <x:v>Diana Torres</x:v>
      </x:c>
      <x:c r="U138" s="29" t="str">
        <x:v>Conciliado</x:v>
      </x:c>
      <x:c r="V138" s="28" t="n">
        <x:v>46083</x:v>
      </x:c>
      <x:c r="W138" s="31" t="n">
        <x:v>0</x:v>
      </x:c>
      <x:c r="X138" s="29" t="str">
        <x:v>Bajo</x:v>
      </x:c>
      <x:c r="Y138" s="29" t="str">
        <x:v>Caja</x:v>
      </x:c>
      <x:c r="Z138" s="29" t="str"/>
      <x:c r="AA138" s="29" t="str">
        <x:v>No</x:v>
      </x:c>
      <x:c r="AB138" s="32" t="str"/>
    </x:row>
    <x:row r="139">
      <x:c r="A139" s="27" t="str">
        <x:v>TRX-138</x:v>
      </x:c>
      <x:c r="B139" s="28" t="n">
        <x:v>46088</x:v>
      </x:c>
      <x:c r="C139" s="28" t="n">
        <x:v>46091</x:v>
      </x:c>
      <x:c r="D139" s="29" t="str">
        <x:v>EMP-002</x:v>
      </x:c>
      <x:c r="E139" s="29" t="str">
        <x:v>Logistica Prisma Ltda.</x:v>
      </x:c>
      <x:c r="F139" s="29" t="str">
        <x:v>1002-553311</x:v>
      </x:c>
      <x:c r="G139" s="29" t="str">
        <x:v>Banco Pacifico</x:v>
      </x:c>
      <x:c r="H139" s="29" t="str">
        <x:v>Egreso</x:v>
      </x:c>
      <x:c r="I139" s="29" t="str">
        <x:v>Impuestos</x:v>
      </x:c>
      <x:c r="J139" s="29" t="str">
        <x:v>Financiera Sur</x:v>
      </x:c>
      <x:c r="K139" s="29" t="str"/>
      <x:c r="L139" s="29" t="str">
        <x:v>COP</x:v>
      </x:c>
      <x:c r="M139" s="30" t="n">
        <x:v>-611754</x:v>
      </x:c>
      <x:c r="N139" s="30" t="n">
        <x:v>0</x:v>
      </x:c>
      <x:c r="O139" s="30" t="n">
        <x:v>-611754</x:v>
      </x:c>
      <x:c r="P139" s="29" t="str">
        <x:v>Cheque</x:v>
      </x:c>
      <x:c r="Q139" s="29" t="str">
        <x:v>Administracion</x:v>
      </x:c>
      <x:c r="R139" s="29" t="str">
        <x:v>Barranquilla</x:v>
      </x:c>
      <x:c r="S139" s="29" t="str">
        <x:v>Colombia</x:v>
      </x:c>
      <x:c r="T139" s="29" t="str">
        <x:v>Felipe Mora</x:v>
      </x:c>
      <x:c r="U139" s="29" t="str">
        <x:v>Conciliado</x:v>
      </x:c>
      <x:c r="V139" s="28" t="n">
        <x:v>46091</x:v>
      </x:c>
      <x:c r="W139" s="31" t="n">
        <x:v>0</x:v>
      </x:c>
      <x:c r="X139" s="29" t="str">
        <x:v>Bajo</x:v>
      </x:c>
      <x:c r="Y139" s="29" t="str">
        <x:v>Portal bancario</x:v>
      </x:c>
      <x:c r="Z139" s="29" t="str">
        <x:v>Soporte pendiente</x:v>
      </x:c>
      <x:c r="AA139" s="29" t="str">
        <x:v>Si</x:v>
      </x:c>
      <x:c r="AB139" s="32" t="str">
        <x:v>Documento faltante</x:v>
      </x:c>
    </x:row>
    <x:row r="140">
      <x:c r="A140" s="27" t="str">
        <x:v>TRX-139</x:v>
      </x:c>
      <x:c r="B140" s="28" t="n">
        <x:v>46091</x:v>
      </x:c>
      <x:c r="C140" s="28" t="n">
        <x:v>46091</x:v>
      </x:c>
      <x:c r="D140" s="29" t="str">
        <x:v>EMP-003</x:v>
      </x:c>
      <x:c r="E140" s="29" t="str">
        <x:v>Insumos Horizonte S.A.</x:v>
      </x:c>
      <x:c r="F140" s="29" t="str">
        <x:v>1003-902244</x:v>
      </x:c>
      <x:c r="G140" s="29" t="str">
        <x:v>Banco Nacional</x:v>
      </x:c>
      <x:c r="H140" s="29" t="str">
        <x:v>Egreso</x:v>
      </x:c>
      <x:c r="I140" s="29" t="str">
        <x:v>Servicios publicos</x:v>
      </x:c>
      <x:c r="J140" s="29" t="str">
        <x:v>Cliente Express</x:v>
      </x:c>
      <x:c r="K140" s="29" t="str">
        <x:v>PAG-20260139</x:v>
      </x:c>
      <x:c r="L140" s="29" t="str">
        <x:v>COP</x:v>
      </x:c>
      <x:c r="M140" s="30" t="n">
        <x:v>-683687</x:v>
      </x:c>
      <x:c r="N140" s="30" t="n">
        <x:v>-129900.53</x:v>
      </x:c>
      <x:c r="O140" s="30" t="n">
        <x:v>-813587.53</x:v>
      </x:c>
      <x:c r="P140" s="29" t="str">
        <x:v>Debito automatico</x:v>
      </x:c>
      <x:c r="Q140" s="29" t="str">
        <x:v>Comercial</x:v>
      </x:c>
      <x:c r="R140" s="29" t="str">
        <x:v>Cartagena</x:v>
      </x:c>
      <x:c r="S140" s="29" t="str">
        <x:v>Colombia</x:v>
      </x:c>
      <x:c r="T140" s="29" t="str"/>
      <x:c r="U140" s="29" t="str">
        <x:v>Conciliado</x:v>
      </x:c>
      <x:c r="V140" s="28" t="n">
        <x:v>46099</x:v>
      </x:c>
      <x:c r="W140" s="31" t="n">
        <x:v>0</x:v>
      </x:c>
      <x:c r="X140" s="29" t="str">
        <x:v>Bajo</x:v>
      </x:c>
      <x:c r="Y140" s="29" t="str">
        <x:v>PSE</x:v>
      </x:c>
      <x:c r="Z140" s="29" t="str"/>
      <x:c r="AA140" s="29" t="str">
        <x:v>No</x:v>
      </x:c>
      <x:c r="AB140" s="32" t="str"/>
    </x:row>
    <x:row r="141">
      <x:c r="A141" s="27" t="str">
        <x:v>TRX-140</x:v>
      </x:c>
      <x:c r="B141" s="28" t="n">
        <x:v>46094</x:v>
      </x:c>
      <x:c r="C141" s="28" t="n">
        <x:v>46095</x:v>
      </x:c>
      <x:c r="D141" s="29" t="str">
        <x:v>EMP-002</x:v>
      </x:c>
      <x:c r="E141" s="29" t="str">
        <x:v>Logistica Prisma Ltda.</x:v>
      </x:c>
      <x:c r="F141" s="29" t="str">
        <x:v>1002-553311</x:v>
      </x:c>
      <x:c r="G141" s="29" t="str">
        <x:v>Banco Andino</x:v>
      </x:c>
      <x:c r="H141" s="29" t="str">
        <x:v>Ingreso</x:v>
      </x:c>
      <x:c r="I141" s="29" t="str">
        <x:v>Credito bancario</x:v>
      </x:c>
      <x:c r="J141" s="29" t="str"/>
      <x:c r="K141" s="29" t="str">
        <x:v>FAC-20260140</x:v>
      </x:c>
      <x:c r="L141" s="29" t="str">
        <x:v>COP</x:v>
      </x:c>
      <x:c r="M141" s="30" t="n">
        <x:v>755620</x:v>
      </x:c>
      <x:c r="N141" s="30" t="n">
        <x:v>0</x:v>
      </x:c>
      <x:c r="O141" s="30" t="n">
        <x:v>755620</x:v>
      </x:c>
      <x:c r="P141" s="29" t="str">
        <x:v>ACH</x:v>
      </x:c>
      <x:c r="Q141" s="29" t="str">
        <x:v>Operaciones</x:v>
      </x:c>
      <x:c r="R141" s="29" t="str">
        <x:v>Bogota</x:v>
      </x:c>
      <x:c r="S141" s="29" t="str">
        <x:v>Colombia</x:v>
      </x:c>
      <x:c r="T141" s="29" t="str">
        <x:v>Ana Ruiz</x:v>
      </x:c>
      <x:c r="U141" s="29" t="str">
        <x:v>Pendiente</x:v>
      </x:c>
      <x:c r="V141" s="28" t="n">
        <x:v>46107</x:v>
      </x:c>
      <x:c r="W141" s="31" t="n">
        <x:v>98</x:v>
      </x:c>
      <x:c r="X141" s="29" t="str">
        <x:v>Medio</x:v>
      </x:c>
      <x:c r="Y141" s="29" t="str">
        <x:v>Transferencia</x:v>
      </x:c>
      <x:c r="Z141" s="29" t="str"/>
      <x:c r="AA141" s="29" t="str">
        <x:v>Si</x:v>
      </x:c>
      <x:c r="AB141" s="32" t="str">
        <x:v>Conciliacion no cerrada</x:v>
      </x:c>
    </x:row>
    <x:row r="142">
      <x:c r="A142" s="27" t="str">
        <x:v>TRX-141</x:v>
      </x:c>
      <x:c r="B142" s="28" t="n">
        <x:v>46097</x:v>
      </x:c>
      <x:c r="C142" s="28" t="n">
        <x:v>46097</x:v>
      </x:c>
      <x:c r="D142" s="29" t="str">
        <x:v>EMP-003</x:v>
      </x:c>
      <x:c r="E142" s="29" t="str">
        <x:v>Insumos Horizonte S.A.</x:v>
      </x:c>
      <x:c r="F142" s="29" t="str">
        <x:v>1003-902244</x:v>
      </x:c>
      <x:c r="G142" s="29" t="str">
        <x:v>Banco Capital</x:v>
      </x:c>
      <x:c r="H142" s="29" t="str">
        <x:v>Egreso</x:v>
      </x:c>
      <x:c r="I142" s="29" t="str">
        <x:v>Reembolso</x:v>
      </x:c>
      <x:c r="J142" s="29" t="str">
        <x:v>Cliente Norte S.A.</x:v>
      </x:c>
      <x:c r="K142" s="29" t="str">
        <x:v>PAG-20260141</x:v>
      </x:c>
      <x:c r="L142" s="29" t="str">
        <x:v>COP</x:v>
      </x:c>
      <x:c r="M142" s="30" t="n">
        <x:v>-827553</x:v>
      </x:c>
      <x:c r="N142" s="30" t="n">
        <x:v>0</x:v>
      </x:c>
      <x:c r="O142" s="30" t="n">
        <x:v>-827553</x:v>
      </x:c>
      <x:c r="P142" s="29" t="str">
        <x:v>Transferencia local</x:v>
      </x:c>
      <x:c r="Q142" s="29" t="str">
        <x:v>Tecnologia</x:v>
      </x:c>
      <x:c r="R142" s="29" t="str">
        <x:v>Medellin</x:v>
      </x:c>
      <x:c r="S142" s="29" t="str">
        <x:v>Colombia</x:v>
      </x:c>
      <x:c r="T142" s="29" t="str">
        <x:v>Carlos Pena</x:v>
      </x:c>
      <x:c r="U142" s="29" t="str">
        <x:v>Conciliado</x:v>
      </x:c>
      <x:c r="V142" s="28" t="n">
        <x:v>46115</x:v>
      </x:c>
      <x:c r="W142" s="31" t="n">
        <x:v>0</x:v>
      </x:c>
      <x:c r="X142" s="29" t="str">
        <x:v>Bajo</x:v>
      </x:c>
      <x:c r="Y142" s="29" t="str">
        <x:v>Tarjeta</x:v>
      </x:c>
      <x:c r="Z142" s="29" t="str"/>
      <x:c r="AA142" s="29" t="str">
        <x:v>No</x:v>
      </x:c>
      <x:c r="AB142" s="32" t="str"/>
    </x:row>
    <x:row r="143">
      <x:c r="A143" s="27" t="str">
        <x:v>TRX-142</x:v>
      </x:c>
      <x:c r="B143" s="28" t="n">
        <x:v>46100</x:v>
      </x:c>
      <x:c r="C143" s="28" t="n">
        <x:v>46100</x:v>
      </x:c>
      <x:c r="D143" s="29" t="str">
        <x:v>EMP-001</x:v>
      </x:c>
      <x:c r="E143" s="29" t="str">
        <x:v>Nova Retail S.A.S.</x:v>
      </x:c>
      <x:c r="F143" s="29" t="str">
        <x:v>1001-884422</x:v>
      </x:c>
      <x:c r="G143" s="29" t="str">
        <x:v>Banco Pacifico</x:v>
      </x:c>
      <x:c r="H143" s="29" t="str">
        <x:v>Egreso</x:v>
      </x:c>
      <x:c r="I143" s="29" t="str">
        <x:v>Comision bancaria</x:v>
      </x:c>
      <x:c r="J143" s="29" t="str">
        <x:v>Distribuidora Delta</x:v>
      </x:c>
      <x:c r="K143" s="29" t="str">
        <x:v>PAG-20260142</x:v>
      </x:c>
      <x:c r="L143" s="29" t="str">
        <x:v>COP</x:v>
      </x:c>
      <x:c r="M143" s="30" t="n">
        <x:v>-899486</x:v>
      </x:c>
      <x:c r="N143" s="30" t="n">
        <x:v>0</x:v>
      </x:c>
      <x:c r="O143" s="30" t="n">
        <x:v>-899486</x:v>
      </x:c>
      <x:c r="P143" s="29" t="str">
        <x:v>Tarjeta credito</x:v>
      </x:c>
      <x:c r="Q143" s="29" t="str">
        <x:v>Finanzas</x:v>
      </x:c>
      <x:c r="R143" s="29" t="str">
        <x:v>Cali</x:v>
      </x:c>
      <x:c r="S143" s="29" t="str">
        <x:v>Colombia</x:v>
      </x:c>
      <x:c r="T143" s="29" t="str">
        <x:v>Diana Torres</x:v>
      </x:c>
      <x:c r="U143" s="29" t="str">
        <x:v>Conciliado</x:v>
      </x:c>
      <x:c r="V143" s="28" t="n">
        <x:v>46123</x:v>
      </x:c>
      <x:c r="W143" s="31" t="n">
        <x:v>0</x:v>
      </x:c>
      <x:c r="X143" s="29" t="str">
        <x:v>Bajo</x:v>
      </x:c>
      <x:c r="Y143" s="29" t="str">
        <x:v>Debito automatico</x:v>
      </x:c>
      <x:c r="Z143" s="29" t="str"/>
      <x:c r="AA143" s="29" t="str">
        <x:v>No</x:v>
      </x:c>
      <x:c r="AB143" s="32" t="str"/>
    </x:row>
    <x:row r="144">
      <x:c r="A144" s="27" t="str">
        <x:v>TRX-143</x:v>
      </x:c>
      <x:c r="B144" s="28" t="n">
        <x:v>46103</x:v>
      </x:c>
      <x:c r="C144" s="28" t="n">
        <x:v>46103</x:v>
      </x:c>
      <x:c r="D144" s="29" t="str">
        <x:v>EMP-002</x:v>
      </x:c>
      <x:c r="E144" s="29" t="str">
        <x:v>Logistica Prisma Ltda.</x:v>
      </x:c>
      <x:c r="F144" s="29" t="str">
        <x:v>1002-553311</x:v>
      </x:c>
      <x:c r="G144" s="29" t="str">
        <x:v>Banco Nacional</x:v>
      </x:c>
      <x:c r="H144" s="29" t="str">
        <x:v>Ingreso</x:v>
      </x:c>
      <x:c r="I144" s="29" t="str">
        <x:v>Credito bancario</x:v>
      </x:c>
      <x:c r="J144" s="29" t="str">
        <x:v>Proveedor Alfa</x:v>
      </x:c>
      <x:c r="K144" s="29" t="str">
        <x:v>FAC-20260143</x:v>
      </x:c>
      <x:c r="L144" s="29" t="str">
        <x:v>COP</x:v>
      </x:c>
      <x:c r="M144" s="30" t="n">
        <x:v>971419</x:v>
      </x:c>
      <x:c r="N144" s="30" t="n">
        <x:v>0</x:v>
      </x:c>
      <x:c r="O144" s="30" t="n">
        <x:v>971419</x:v>
      </x:c>
      <x:c r="P144" s="29" t="str">
        <x:v>Cheque</x:v>
      </x:c>
      <x:c r="Q144" s="29" t="str"/>
      <x:c r="R144" s="29" t="str">
        <x:v>Barranquilla</x:v>
      </x:c>
      <x:c r="S144" s="29" t="str">
        <x:v>Colombia</x:v>
      </x:c>
      <x:c r="T144" s="29" t="str">
        <x:v>Felipe Mora</x:v>
      </x:c>
      <x:c r="U144" s="29" t="str">
        <x:v>Diferencia</x:v>
      </x:c>
      <x:c r="V144" s="28" t="n">
        <x:v>46131</x:v>
      </x:c>
      <x:c r="W144" s="31" t="n">
        <x:v>74</x:v>
      </x:c>
      <x:c r="X144" s="29" t="str">
        <x:v>Medio</x:v>
      </x:c>
      <x:c r="Y144" s="29" t="str">
        <x:v>Caja</x:v>
      </x:c>
      <x:c r="Z144" s="29" t="str"/>
      <x:c r="AA144" s="29" t="str">
        <x:v>Si</x:v>
      </x:c>
      <x:c r="AB144" s="32" t="str">
        <x:v>Conciliacion no cerrada</x:v>
      </x:c>
    </x:row>
    <x:row r="145">
      <x:c r="A145" s="27" t="str">
        <x:v>TRX-144</x:v>
      </x:c>
      <x:c r="B145" s="28" t="n">
        <x:v>46106</x:v>
      </x:c>
      <x:c r="C145" s="28" t="n">
        <x:v>46109</x:v>
      </x:c>
      <x:c r="D145" s="29" t="str">
        <x:v>EMP-003</x:v>
      </x:c>
      <x:c r="E145" s="29" t="str">
        <x:v>Insumos Horizonte S.A.</x:v>
      </x:c>
      <x:c r="F145" s="29" t="str">
        <x:v>1003-902244</x:v>
      </x:c>
      <x:c r="G145" s="29" t="str">
        <x:v>Banco Andino</x:v>
      </x:c>
      <x:c r="H145" s="29" t="str">
        <x:v>Egreso</x:v>
      </x:c>
      <x:c r="I145" s="29" t="str">
        <x:v>Pago proveedor</x:v>
      </x:c>
      <x:c r="J145" s="29" t="str">
        <x:v>Servicios Beta</x:v>
      </x:c>
      <x:c r="K145" s="29" t="str">
        <x:v>PAG-20260144</x:v>
      </x:c>
      <x:c r="L145" s="29" t="str">
        <x:v>COP</x:v>
      </x:c>
      <x:c r="M145" s="30" t="n">
        <x:v>-1043352</x:v>
      </x:c>
      <x:c r="N145" s="30" t="n">
        <x:v>-198236.88</x:v>
      </x:c>
      <x:c r="O145" s="30" t="n">
        <x:v>-1241588.88</x:v>
      </x:c>
      <x:c r="P145" s="29" t="str">
        <x:v>Debito automatico</x:v>
      </x:c>
      <x:c r="Q145" s="29" t="str">
        <x:v>Administracion</x:v>
      </x:c>
      <x:c r="R145" s="29" t="str">
        <x:v>Cartagena</x:v>
      </x:c>
      <x:c r="S145" s="29" t="str">
        <x:v>Colombia</x:v>
      </x:c>
      <x:c r="T145" s="29" t="str"/>
      <x:c r="U145" s="29" t="str">
        <x:v>Pendiente</x:v>
      </x:c>
      <x:c r="V145" s="28" t="n">
        <x:v>46094</x:v>
      </x:c>
      <x:c r="W145" s="31" t="n">
        <x:v>111</x:v>
      </x:c>
      <x:c r="X145" s="29" t="str">
        <x:v>Medio</x:v>
      </x:c>
      <x:c r="Y145" s="29" t="str">
        <x:v>Portal bancario</x:v>
      </x:c>
      <x:c r="Z145" s="29" t="str"/>
      <x:c r="AA145" s="29" t="str">
        <x:v>Si</x:v>
      </x:c>
      <x:c r="AB145" s="32" t="str">
        <x:v>Conciliacion no cerrada</x:v>
      </x:c>
    </x:row>
    <x:row r="146">
      <x:c r="A146" s="27" t="str">
        <x:v>TRX-145</x:v>
      </x:c>
      <x:c r="B146" s="28" t="n">
        <x:v>46109</x:v>
      </x:c>
      <x:c r="C146" s="28" t="n">
        <x:v>46109</x:v>
      </x:c>
      <x:c r="D146" s="29" t="str">
        <x:v>EMP-001</x:v>
      </x:c>
      <x:c r="E146" s="29" t="str">
        <x:v>Nova Retail S.A.S.</x:v>
      </x:c>
      <x:c r="F146" s="29" t="str">
        <x:v>1001-884422</x:v>
      </x:c>
      <x:c r="G146" s="29" t="str">
        <x:v>Banco Capital</x:v>
      </x:c>
      <x:c r="H146" s="29" t="str">
        <x:v>Ingreso</x:v>
      </x:c>
      <x:c r="I146" s="29" t="str">
        <x:v>Venta internacional</x:v>
      </x:c>
      <x:c r="J146" s="29" t="str">
        <x:v>Aduanas Global</x:v>
      </x:c>
      <x:c r="K146" s="29" t="str">
        <x:v>FAC-20260145</x:v>
      </x:c>
      <x:c r="L146" s="29" t="str">
        <x:v>COP</x:v>
      </x:c>
      <x:c r="M146" s="30" t="n">
        <x:v>1115285</x:v>
      </x:c>
      <x:c r="N146" s="30" t="n">
        <x:v>0</x:v>
      </x:c>
      <x:c r="O146" s="30" t="n">
        <x:v>1115285</x:v>
      </x:c>
      <x:c r="P146" s="29" t="str">
        <x:v>ACH</x:v>
      </x:c>
      <x:c r="Q146" s="29" t="str">
        <x:v>Comercial</x:v>
      </x:c>
      <x:c r="R146" s="29" t="str">
        <x:v>Bogota</x:v>
      </x:c>
      <x:c r="S146" s="29" t="str">
        <x:v>Colombia</x:v>
      </x:c>
      <x:c r="T146" s="29" t="str"/>
      <x:c r="U146" s="29" t="str">
        <x:v>Conciliado</x:v>
      </x:c>
      <x:c r="V146" s="28" t="n">
        <x:v>46102</x:v>
      </x:c>
      <x:c r="W146" s="31" t="n">
        <x:v>0</x:v>
      </x:c>
      <x:c r="X146" s="29" t="str">
        <x:v>Bajo</x:v>
      </x:c>
      <x:c r="Y146" s="29" t="str">
        <x:v>PSE</x:v>
      </x:c>
      <x:c r="Z146" s="29" t="str"/>
      <x:c r="AA146" s="29" t="str">
        <x:v>Si</x:v>
      </x:c>
      <x:c r="AB146" s="32" t="str">
        <x:v>Responsable vacio</x:v>
      </x:c>
    </x:row>
    <x:row r="147">
      <x:c r="A147" s="27" t="str">
        <x:v>TRX-146</x:v>
      </x:c>
      <x:c r="B147" s="28" t="n">
        <x:v>46112</x:v>
      </x:c>
      <x:c r="C147" s="28" t="n">
        <x:v>46112</x:v>
      </x:c>
      <x:c r="D147" s="29" t="str">
        <x:v>EMP-002</x:v>
      </x:c>
      <x:c r="E147" s="29" t="str">
        <x:v>Logistica Prisma Ltda.</x:v>
      </x:c>
      <x:c r="F147" s="29" t="str">
        <x:v>1002-553311</x:v>
      </x:c>
      <x:c r="G147" s="29" t="str">
        <x:v>Banco Pacifico</x:v>
      </x:c>
      <x:c r="H147" s="29" t="str">
        <x:v>Egreso</x:v>
      </x:c>
      <x:c r="I147" s="29" t="str">
        <x:v>Impuestos</x:v>
      </x:c>
      <x:c r="J147" s="29" t="str">
        <x:v>Energia Urbana</x:v>
      </x:c>
      <x:c r="K147" s="29" t="str">
        <x:v>PAG-20260146</x:v>
      </x:c>
      <x:c r="L147" s="29" t="str">
        <x:v>COP</x:v>
      </x:c>
      <x:c r="M147" s="30" t="n">
        <x:v>-1187218</x:v>
      </x:c>
      <x:c r="N147" s="30" t="n">
        <x:v>0</x:v>
      </x:c>
      <x:c r="O147" s="30" t="n">
        <x:v>-1187218</x:v>
      </x:c>
      <x:c r="P147" s="29" t="str">
        <x:v>Transferencia local</x:v>
      </x:c>
      <x:c r="Q147" s="29" t="str">
        <x:v>Operaciones</x:v>
      </x:c>
      <x:c r="R147" s="29" t="str">
        <x:v>Medellin</x:v>
      </x:c>
      <x:c r="S147" s="29" t="str">
        <x:v>Colombia</x:v>
      </x:c>
      <x:c r="T147" s="29" t="str">
        <x:v>Carlos Pena</x:v>
      </x:c>
      <x:c r="U147" s="29" t="str">
        <x:v>Conciliado</x:v>
      </x:c>
      <x:c r="V147" s="28" t="n">
        <x:v>46110</x:v>
      </x:c>
      <x:c r="W147" s="31" t="n">
        <x:v>0</x:v>
      </x:c>
      <x:c r="X147" s="29" t="str">
        <x:v>Bajo</x:v>
      </x:c>
      <x:c r="Y147" s="29" t="str">
        <x:v>Transferencia</x:v>
      </x:c>
      <x:c r="Z147" s="29" t="str"/>
      <x:c r="AA147" s="29" t="str">
        <x:v>No</x:v>
      </x:c>
      <x:c r="AB147" s="32" t="str"/>
    </x:row>
    <x:row r="148">
      <x:c r="A148" s="27" t="str">
        <x:v>TRX-147</x:v>
      </x:c>
      <x:c r="B148" s="28" t="n">
        <x:v>46115</x:v>
      </x:c>
      <x:c r="C148" s="28" t="n">
        <x:v>46115</x:v>
      </x:c>
      <x:c r="D148" s="29" t="str">
        <x:v>EMP-001</x:v>
      </x:c>
      <x:c r="E148" s="29" t="str">
        <x:v>Nova Retail S.A.S.</x:v>
      </x:c>
      <x:c r="F148" s="29" t="str">
        <x:v>1001-884422</x:v>
      </x:c>
      <x:c r="G148" s="29" t="str">
        <x:v>Banco Nacional</x:v>
      </x:c>
      <x:c r="H148" s="29" t="str">
        <x:v>Ingreso</x:v>
      </x:c>
      <x:c r="I148" s="29" t="str">
        <x:v>Venta nacional</x:v>
      </x:c>
      <x:c r="J148" s="29" t="str">
        <x:v>Talento Humano</x:v>
      </x:c>
      <x:c r="K148" s="29" t="str">
        <x:v>FAC-20260147</x:v>
      </x:c>
      <x:c r="L148" s="29" t="str">
        <x:v>COP</x:v>
      </x:c>
      <x:c r="M148" s="30" t="n">
        <x:v>1259151</x:v>
      </x:c>
      <x:c r="N148" s="30" t="n">
        <x:v>239238.69</x:v>
      </x:c>
      <x:c r="O148" s="30" t="n">
        <x:v>1498389.69</x:v>
      </x:c>
      <x:c r="P148" s="29" t="str">
        <x:v>Tarjeta credito</x:v>
      </x:c>
      <x:c r="Q148" s="29" t="str">
        <x:v>Tecnologia</x:v>
      </x:c>
      <x:c r="R148" s="29" t="str">
        <x:v>Cali</x:v>
      </x:c>
      <x:c r="S148" s="29" t="str">
        <x:v>Colombia</x:v>
      </x:c>
      <x:c r="T148" s="29" t="str">
        <x:v>Diana Torres</x:v>
      </x:c>
      <x:c r="U148" s="29" t="str">
        <x:v>Conciliado</x:v>
      </x:c>
      <x:c r="V148" s="28" t="n">
        <x:v>46118</x:v>
      </x:c>
      <x:c r="W148" s="31" t="n">
        <x:v>0</x:v>
      </x:c>
      <x:c r="X148" s="29" t="str">
        <x:v>Bajo</x:v>
      </x:c>
      <x:c r="Y148" s="29" t="str">
        <x:v>Tarjeta</x:v>
      </x:c>
      <x:c r="Z148" s="29" t="str"/>
      <x:c r="AA148" s="29" t="str">
        <x:v>No</x:v>
      </x:c>
      <x:c r="AB148" s="32" t="str"/>
    </x:row>
    <x:row r="149">
      <x:c r="A149" s="27" t="str">
        <x:v>TRX-148</x:v>
      </x:c>
      <x:c r="B149" s="28" t="n">
        <x:v>46118</x:v>
      </x:c>
      <x:c r="C149" s="28" t="n">
        <x:v>46119</x:v>
      </x:c>
      <x:c r="D149" s="29" t="str">
        <x:v>EMP-002</x:v>
      </x:c>
      <x:c r="E149" s="29" t="str">
        <x:v>Logistica Prisma Ltda.</x:v>
      </x:c>
      <x:c r="F149" s="29" t="str">
        <x:v>1002-553311</x:v>
      </x:c>
      <x:c r="G149" s="29" t="str">
        <x:v>Banco Andino</x:v>
      </x:c>
      <x:c r="H149" s="29" t="str">
        <x:v>Egreso</x:v>
      </x:c>
      <x:c r="I149" s="29" t="str">
        <x:v>Arriendo</x:v>
      </x:c>
      <x:c r="J149" s="29" t="str">
        <x:v>Arrendadora Centro</x:v>
      </x:c>
      <x:c r="K149" s="29" t="str">
        <x:v>PAG-20260148</x:v>
      </x:c>
      <x:c r="L149" s="29" t="str">
        <x:v>COP</x:v>
      </x:c>
      <x:c r="M149" s="30" t="n">
        <x:v>-1331084</x:v>
      </x:c>
      <x:c r="N149" s="30" t="n">
        <x:v>-252905.96</x:v>
      </x:c>
      <x:c r="O149" s="30" t="n">
        <x:v>-1583989.96</x:v>
      </x:c>
      <x:c r="P149" s="29" t="str">
        <x:v>Cheque</x:v>
      </x:c>
      <x:c r="Q149" s="29" t="str">
        <x:v>Finanzas</x:v>
      </x:c>
      <x:c r="R149" s="29" t="str">
        <x:v>Barranquilla</x:v>
      </x:c>
      <x:c r="S149" s="29" t="str">
        <x:v>Colombia</x:v>
      </x:c>
      <x:c r="T149" s="29" t="str">
        <x:v>Felipe Mora</x:v>
      </x:c>
      <x:c r="U149" s="29" t="str">
        <x:v>Duplicado</x:v>
      </x:c>
      <x:c r="V149" s="28" t="n">
        <x:v>46126</x:v>
      </x:c>
      <x:c r="W149" s="31" t="n">
        <x:v>79</x:v>
      </x:c>
      <x:c r="X149" s="29" t="str">
        <x:v>Medio</x:v>
      </x:c>
      <x:c r="Y149" s="29" t="str">
        <x:v>Debito automatico</x:v>
      </x:c>
      <x:c r="Z149" s="29" t="str"/>
      <x:c r="AA149" s="29" t="str">
        <x:v>Si</x:v>
      </x:c>
      <x:c r="AB149" s="32" t="str">
        <x:v>Conciliacion no cerrada</x:v>
      </x:c>
    </x:row>
    <x:row r="150">
      <x:c r="A150" s="27" t="str">
        <x:v>TRX-149</x:v>
      </x:c>
      <x:c r="B150" s="28" t="n">
        <x:v>46121</x:v>
      </x:c>
      <x:c r="C150" s="28" t="n">
        <x:v>46121</x:v>
      </x:c>
      <x:c r="D150" s="29" t="str">
        <x:v>EMP-003</x:v>
      </x:c>
      <x:c r="E150" s="29" t="str">
        <x:v>Insumos Horizonte S.A.</x:v>
      </x:c>
      <x:c r="F150" s="29" t="str">
        <x:v>1003-902244</x:v>
      </x:c>
      <x:c r="G150" s="29" t="str">
        <x:v>Banco Capital</x:v>
      </x:c>
      <x:c r="H150" s="29" t="str">
        <x:v>Egreso</x:v>
      </x:c>
      <x:c r="I150" s="29" t="str">
        <x:v>Reembolso</x:v>
      </x:c>
      <x:c r="J150" s="29" t="str">
        <x:v>Financiera Sur</x:v>
      </x:c>
      <x:c r="K150" s="29" t="str">
        <x:v>PAG-20260149</x:v>
      </x:c>
      <x:c r="L150" s="29" t="str">
        <x:v>COP</x:v>
      </x:c>
      <x:c r="M150" s="30" t="n">
        <x:v>-1403017</x:v>
      </x:c>
      <x:c r="N150" s="30" t="n">
        <x:v>0</x:v>
      </x:c>
      <x:c r="O150" s="30" t="n">
        <x:v>-1403017</x:v>
      </x:c>
      <x:c r="P150" s="29" t="str">
        <x:v>Debito automatico</x:v>
      </x:c>
      <x:c r="Q150" s="29" t="str"/>
      <x:c r="R150" s="29" t="str">
        <x:v>Cartagena</x:v>
      </x:c>
      <x:c r="S150" s="29" t="str">
        <x:v>Colombia</x:v>
      </x:c>
      <x:c r="T150" s="29" t="str"/>
      <x:c r="U150" s="29" t="str">
        <x:v>Conciliado</x:v>
      </x:c>
      <x:c r="V150" s="28" t="n">
        <x:v>46134</x:v>
      </x:c>
      <x:c r="W150" s="31" t="n">
        <x:v>0</x:v>
      </x:c>
      <x:c r="X150" s="29" t="str">
        <x:v>Bajo</x:v>
      </x:c>
      <x:c r="Y150" s="29" t="str">
        <x:v>Caja</x:v>
      </x:c>
      <x:c r="Z150" s="29" t="str"/>
      <x:c r="AA150" s="29" t="str">
        <x:v>No</x:v>
      </x:c>
      <x:c r="AB150" s="32" t="str"/>
    </x:row>
    <x:row r="151">
      <x:c r="A151" s="33" t="str">
        <x:v>TRX-150</x:v>
      </x:c>
      <x:c r="B151" s="34" t="n">
        <x:v>46124</x:v>
      </x:c>
      <x:c r="C151" s="34" t="n">
        <x:v>46127</x:v>
      </x:c>
      <x:c r="D151" s="35" t="str">
        <x:v>EMP-001</x:v>
      </x:c>
      <x:c r="E151" s="35" t="str">
        <x:v>Nova Retail S.A.S.</x:v>
      </x:c>
      <x:c r="F151" s="35" t="str">
        <x:v>1001-884422</x:v>
      </x:c>
      <x:c r="G151" s="35" t="str">
        <x:v>Banco Pacifico</x:v>
      </x:c>
      <x:c r="H151" s="35" t="str">
        <x:v>Ingreso</x:v>
      </x:c>
      <x:c r="I151" s="35" t="str">
        <x:v>Venta nacional</x:v>
      </x:c>
      <x:c r="J151" s="35" t="str">
        <x:v>Cliente Express</x:v>
      </x:c>
      <x:c r="K151" s="35" t="str">
        <x:v>FAC-20260150</x:v>
      </x:c>
      <x:c r="L151" s="35" t="str">
        <x:v>COP</x:v>
      </x:c>
      <x:c r="M151" s="36" t="n">
        <x:v>1474950</x:v>
      </x:c>
      <x:c r="N151" s="36" t="n">
        <x:v>280240.5</x:v>
      </x:c>
      <x:c r="O151" s="36" t="n">
        <x:v>1755190.5</x:v>
      </x:c>
      <x:c r="P151" s="35" t="str">
        <x:v>ACH</x:v>
      </x:c>
      <x:c r="Q151" s="35" t="str">
        <x:v>Administracion</x:v>
      </x:c>
      <x:c r="R151" s="35" t="str">
        <x:v>Bogota</x:v>
      </x:c>
      <x:c r="S151" s="35" t="str">
        <x:v>Colombia</x:v>
      </x:c>
      <x:c r="T151" s="35" t="str">
        <x:v>Ana Ruiz</x:v>
      </x:c>
      <x:c r="U151" s="35" t="str">
        <x:v>Conciliado</x:v>
      </x:c>
      <x:c r="V151" s="34" t="n">
        <x:v>46142</x:v>
      </x:c>
      <x:c r="W151" s="37" t="n">
        <x:v>0</x:v>
      </x:c>
      <x:c r="X151" s="35" t="str">
        <x:v>Bajo</x:v>
      </x:c>
      <x:c r="Y151" s="35" t="str">
        <x:v>Portal bancario</x:v>
      </x:c>
      <x:c r="Z151" s="35" t="str"/>
      <x:c r="AA151" s="35" t="str">
        <x:v>No</x:v>
      </x:c>
      <x:c r="AB151" s="38" t="str"/>
    </x:row>
  </x:sheetData>
  <x:conditionalFormatting sqref="AA2:AA151">
    <x:cfRule type="containsText" dxfId="0" priority="1" operator="containsText" text="Si"/>
  </x:conditionalFormatting>
  <x:conditionalFormatting sqref="X2:X151">
    <x:cfRule type="containsText" dxfId="1" priority="2" operator="containsText" text="Alto"/>
  </x:conditionalFormatting>
  <x:dataValidations count="4">
    <x:dataValidation type="list" sqref="H2:H151">
      <x:formula1>"Ingreso,Egreso"</x:formula1>
    </x:dataValidation>
    <x:dataValidation type="list" sqref="U2:U151">
      <x:formula1>"Conciliado,Pendiente,Diferencia,Duplicado,Rechazado"</x:formula1>
    </x:dataValidation>
    <x:dataValidation type="list" sqref="X2:X151">
      <x:formula1>"Bajo,Medio,Alto"</x:formula1>
    </x:dataValidation>
    <x:dataValidation type="list" sqref="AA2:AA151">
      <x:formula1>"Si,No"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5" hidden="0" customWidth="1"/>
    <x:col min="3" max="3" width="46" hidden="0" customWidth="1"/>
    <x:col min="4" max="4" width="46" hidden="0" customWidth="1"/>
  </x:cols>
  <x:sheetData>
    <x:row r="1">
      <x:c r="A1" s="42" t="str">
        <x:v>Campo</x:v>
      </x:c>
      <x:c r="B1" s="43" t="str">
        <x:v>Tipo</x:v>
      </x:c>
      <x:c r="C1" s="43" t="str">
        <x:v>Descripcion</x:v>
      </x:c>
      <x:c r="D1" s="44" t="str">
        <x:v>Uso en automatizacion</x:v>
      </x:c>
    </x:row>
    <x:row r="2">
      <x:c r="A2" s="6" t="str">
        <x:v>transaccion_id</x:v>
      </x:c>
      <x:c r="B2" s="7" t="str">
        <x:v>Texto</x:v>
      </x:c>
      <x:c r="C2" s="7" t="str">
        <x:v>Identificador unico de la transaccion. Hay un duplicado intencional.</x:v>
      </x:c>
      <x:c r="D2" s="8" t="str">
        <x:v>Detectar duplicados y bloquear cargas repetidas.</x:v>
      </x:c>
    </x:row>
    <x:row r="3">
      <x:c r="A3" s="6" t="str">
        <x:v>fecha_operacion</x:v>
      </x:c>
      <x:c r="B3" s="7" t="str">
        <x:v>Fecha</x:v>
      </x:c>
      <x:c r="C3" s="7" t="str">
        <x:v>Fecha en que ocurrio el movimiento bancario.</x:v>
      </x:c>
      <x:c r="D3" s="8" t="str">
        <x:v>Ordenar, filtrar por periodo y disparar reportes diarios.</x:v>
      </x:c>
    </x:row>
    <x:row r="4">
      <x:c r="A4" s="6" t="str">
        <x:v>fecha_contable</x:v>
      </x:c>
      <x:c r="B4" s="7" t="str">
        <x:v>Fecha</x:v>
      </x:c>
      <x:c r="C4" s="7" t="str">
        <x:v>Fecha registrada en contabilidad.</x:v>
      </x:c>
      <x:c r="D4" s="8" t="str">
        <x:v>Comparar desfases entre banco y ERP.</x:v>
      </x:c>
    </x:row>
    <x:row r="5">
      <x:c r="A5" s="6" t="str">
        <x:v>empresa_id</x:v>
      </x:c>
      <x:c r="B5" s="7" t="str">
        <x:v>Texto</x:v>
      </x:c>
      <x:c r="C5" s="7" t="str">
        <x:v>Codigo de la empresa dentro del grupo.</x:v>
      </x:c>
      <x:c r="D5" s="8" t="str">
        <x:v>Enrutar aprobaciones por compania.</x:v>
      </x:c>
    </x:row>
    <x:row r="6">
      <x:c r="A6" s="6" t="str">
        <x:v>empresa</x:v>
      </x:c>
      <x:c r="B6" s="7" t="str">
        <x:v>Texto</x:v>
      </x:c>
      <x:c r="C6" s="7" t="str">
        <x:v>Nombre de la empresa.</x:v>
      </x:c>
      <x:c r="D6" s="8" t="str">
        <x:v>Agrupar reportes y enviar notificaciones segmentadas.</x:v>
      </x:c>
    </x:row>
    <x:row r="7">
      <x:c r="A7" s="6" t="str">
        <x:v>cuenta_bancaria</x:v>
      </x:c>
      <x:c r="B7" s="7" t="str">
        <x:v>Texto</x:v>
      </x:c>
      <x:c r="C7" s="7" t="str">
        <x:v>Cuenta asociada al movimiento.</x:v>
      </x:c>
      <x:c r="D7" s="8" t="str">
        <x:v>Conciliar extractos por cuenta.</x:v>
      </x:c>
    </x:row>
    <x:row r="8">
      <x:c r="A8" s="6" t="str">
        <x:v>banco</x:v>
      </x:c>
      <x:c r="B8" s="7" t="str">
        <x:v>Texto</x:v>
      </x:c>
      <x:c r="C8" s="7" t="str">
        <x:v>Banco donde se registro el movimiento.</x:v>
      </x:c>
      <x:c r="D8" s="8" t="str">
        <x:v>Separar conectores o archivos por entidad bancaria.</x:v>
      </x:c>
    </x:row>
    <x:row r="9">
      <x:c r="A9" s="6" t="str">
        <x:v>tipo_movimiento</x:v>
      </x:c>
      <x:c r="B9" s="7" t="str">
        <x:v>Lista</x:v>
      </x:c>
      <x:c r="C9" s="7" t="str">
        <x:v>Ingreso o Egreso.</x:v>
      </x:c>
      <x:c r="D9" s="8" t="str">
        <x:v>Crear flujos diferentes para recaudos y pagos.</x:v>
      </x:c>
    </x:row>
    <x:row r="10">
      <x:c r="A10" s="6" t="str">
        <x:v>categoria</x:v>
      </x:c>
      <x:c r="B10" s="7" t="str">
        <x:v>Lista</x:v>
      </x:c>
      <x:c r="C10" s="7" t="str">
        <x:v>Clasificacion financiera del movimiento.</x:v>
      </x:c>
      <x:c r="D10" s="8" t="str">
        <x:v>Asignar reglas contables y centros de costo.</x:v>
      </x:c>
    </x:row>
    <x:row r="11">
      <x:c r="A11" s="6" t="str">
        <x:v>proveedor_cliente</x:v>
      </x:c>
      <x:c r="B11" s="7" t="str">
        <x:v>Texto</x:v>
      </x:c>
      <x:c r="C11" s="7" t="str">
        <x:v>Contraparte del movimiento.</x:v>
      </x:c>
      <x:c r="D11" s="8" t="str">
        <x:v>Cruzar con maestros de clientes/proveedores.</x:v>
      </x:c>
    </x:row>
    <x:row r="12">
      <x:c r="A12" s="6" t="str">
        <x:v>documento_ref</x:v>
      </x:c>
      <x:c r="B12" s="7" t="str">
        <x:v>Texto</x:v>
      </x:c>
      <x:c r="C12" s="7" t="str">
        <x:v>Factura, pago, nomina u otro soporte.</x:v>
      </x:c>
      <x:c r="D12" s="8" t="str">
        <x:v>Validar documentos vacios o mal formados.</x:v>
      </x:c>
    </x:row>
    <x:row r="13">
      <x:c r="A13" s="6" t="str">
        <x:v>moneda</x:v>
      </x:c>
      <x:c r="B13" s="7" t="str">
        <x:v>Lista</x:v>
      </x:c>
      <x:c r="C13" s="7" t="str">
        <x:v>COP o USD.</x:v>
      </x:c>
      <x:c r="D13" s="8" t="str">
        <x:v>Separar conversiones y reportes multi-moneda.</x:v>
      </x:c>
    </x:row>
    <x:row r="14">
      <x:c r="A14" s="6" t="str">
        <x:v>valor_bruto</x:v>
      </x:c>
      <x:c r="B14" s="7" t="str">
        <x:v>Numero</x:v>
      </x:c>
      <x:c r="C14" s="7" t="str">
        <x:v>Valor antes de impuestos, positivo para ingresos y negativo para egresos.</x:v>
      </x:c>
      <x:c r="D14" s="8" t="str">
        <x:v>Calcular totales y umbrales de aprobacion.</x:v>
      </x:c>
    </x:row>
    <x:row r="15">
      <x:c r="A15" s="6" t="str">
        <x:v>impuesto_iva</x:v>
      </x:c>
      <x:c r="B15" s="7" t="str">
        <x:v>Numero</x:v>
      </x:c>
      <x:c r="C15" s="7" t="str">
        <x:v>IVA asociado cuando aplica.</x:v>
      </x:c>
      <x:c r="D15" s="8" t="str">
        <x:v>Verificar calculos tributarios.</x:v>
      </x:c>
    </x:row>
    <x:row r="16">
      <x:c r="A16" s="6" t="str">
        <x:v>valor_neto</x:v>
      </x:c>
      <x:c r="B16" s="7" t="str">
        <x:v>Numero</x:v>
      </x:c>
      <x:c r="C16" s="7" t="str">
        <x:v>Valor total del movimiento.</x:v>
      </x:c>
      <x:c r="D16" s="8" t="str">
        <x:v>Conciliacion, flujo de caja y alertas por monto.</x:v>
      </x:c>
    </x:row>
    <x:row r="17">
      <x:c r="A17" s="6" t="str">
        <x:v>metodo_pago</x:v>
      </x:c>
      <x:c r="B17" s="7" t="str">
        <x:v>Lista</x:v>
      </x:c>
      <x:c r="C17" s="7" t="str">
        <x:v>Medio usado para pagar o recibir.</x:v>
      </x:c>
      <x:c r="D17" s="8" t="str">
        <x:v>Validar canales permitidos por politica.</x:v>
      </x:c>
    </x:row>
    <x:row r="18">
      <x:c r="A18" s="6" t="str">
        <x:v>centro_costo</x:v>
      </x:c>
      <x:c r="B18" s="7" t="str">
        <x:v>Texto</x:v>
      </x:c>
      <x:c r="C18" s="7" t="str">
        <x:v>Area responsable del gasto o ingreso.</x:v>
      </x:c>
      <x:c r="D18" s="8" t="str">
        <x:v>Detectar registros incompletos antes de cargar al ERP.</x:v>
      </x:c>
    </x:row>
    <x:row r="19">
      <x:c r="A19" s="6" t="str">
        <x:v>estado_conciliacion</x:v>
      </x:c>
      <x:c r="B19" s="7" t="str">
        <x:v>Lista</x:v>
      </x:c>
      <x:c r="C19" s="7" t="str">
        <x:v>Estado del cruce banco vs contabilidad.</x:v>
      </x:c>
      <x:c r="D19" s="8" t="str">
        <x:v>Disparar tareas para pendientes, diferencias y rechazados.</x:v>
      </x:c>
    </x:row>
    <x:row r="20">
      <x:c r="A20" s="6" t="str">
        <x:v>dias_mora</x:v>
      </x:c>
      <x:c r="B20" s="7" t="str">
        <x:v>Numero</x:v>
      </x:c>
      <x:c r="C20" s="7" t="str">
        <x:v>Dias vencidos al 2026-07-02 si no esta conciliado.</x:v>
      </x:c>
      <x:c r="D20" s="8" t="str">
        <x:v>Enviar alertas por mora y priorizar tareas.</x:v>
      </x:c>
    </x:row>
    <x:row r="21">
      <x:c r="A21" s="6" t="str">
        <x:v>nivel_riesgo</x:v>
      </x:c>
      <x:c r="B21" s="7" t="str">
        <x:v>Lista</x:v>
      </x:c>
      <x:c r="C21" s="7" t="str">
        <x:v>Bajo, Medio o Alto segun monto, mora y estado.</x:v>
      </x:c>
      <x:c r="D21" s="8" t="str">
        <x:v>Crear colas de revision por prioridad.</x:v>
      </x:c>
    </x:row>
    <x:row r="22">
      <x:c r="A22" s="6" t="str">
        <x:v>requiere_revision</x:v>
      </x:c>
      <x:c r="B22" s="7" t="str">
        <x:v>Lista</x:v>
      </x:c>
      <x:c r="C22" s="7" t="str">
        <x:v>Si/No calculado por reglas del dataset.</x:v>
      </x:c>
      <x:c r="D22" s="8" t="str">
        <x:v>Filtrar casos que deben ir a aprobacion humana.</x:v>
      </x:c>
    </x:row>
    <x:row r="23">
      <x:c r="A23" s="9" t="str">
        <x:v>motivo_revision</x:v>
      </x:c>
      <x:c r="B23" s="10" t="str">
        <x:v>Texto</x:v>
      </x:c>
      <x:c r="C23" s="10" t="str">
        <x:v>Razones detectadas para revisar.</x:v>
      </x:c>
      <x:c r="D23" s="11" t="str">
        <x:v>Construir mensajes automaticos y tickets.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8" hidden="0" customWidth="1"/>
    <x:col min="3" max="3" width="48" hidden="0" customWidth="1"/>
  </x:cols>
  <x:sheetData>
    <x:row r="1">
      <x:c r="A1" s="48" t="str">
        <x:v>Automatizacion sugerida</x:v>
      </x:c>
      <x:c r="B1" s="49" t="str">
        <x:v>Regla de negocio</x:v>
      </x:c>
      <x:c r="C1" s="50" t="str">
        <x:v>Salida esperada</x:v>
      </x:c>
    </x:row>
    <x:row r="2">
      <x:c r="A2" s="6" t="str">
        <x:v>Validar campos obligatorios</x:v>
      </x:c>
      <x:c r="B2" s="7" t="str">
        <x:v>documento_ref, centro_costo y responsable no deben estar vacios.</x:v>
      </x:c>
      <x:c r="C2" s="8" t="str">
        <x:v>Lista de transacciones incompletas para corregir.</x:v>
      </x:c>
    </x:row>
    <x:row r="3">
      <x:c r="A3" s="6" t="str">
        <x:v>Detectar duplicados</x:v>
      </x:c>
      <x:c r="B3" s="7" t="str">
        <x:v>transaccion_id no debe repetirse.</x:v>
      </x:c>
      <x:c r="C3" s="8" t="str">
        <x:v>Alerta con ids duplicados antes de cargar al ERP.</x:v>
      </x:c>
    </x:row>
    <x:row r="4">
      <x:c r="A4" s="6" t="str">
        <x:v>Conciliar pendientes</x:v>
      </x:c>
      <x:c r="B4" s="7" t="str">
        <x:v>estado_conciliacion distinto de Conciliado.</x:v>
      </x:c>
      <x:c r="C4" s="8" t="str">
        <x:v>Crear tarea para el responsable asignado.</x:v>
      </x:c>
    </x:row>
    <x:row r="5">
      <x:c r="A5" s="6" t="str">
        <x:v>Priorizar mora</x:v>
      </x:c>
      <x:c r="B5" s="7" t="str">
        <x:v>dias_mora mayor a 30.</x:v>
      </x:c>
      <x:c r="C5" s="8" t="str">
        <x:v>Enviar alerta diaria a Finanzas.</x:v>
      </x:c>
    </x:row>
    <x:row r="6">
      <x:c r="A6" s="6" t="str">
        <x:v>Controlar montos altos</x:v>
      </x:c>
      <x:c r="B6" s="7" t="str">
        <x:v>ABS(valor_neto) mayor a 7.500.000.</x:v>
      </x:c>
      <x:c r="C6" s="8" t="str">
        <x:v>Solicitar aprobacion adicional.</x:v>
      </x:c>
    </x:row>
    <x:row r="7">
      <x:c r="A7" s="6" t="str">
        <x:v>Separar moneda extranjera</x:v>
      </x:c>
      <x:c r="B7" s="7" t="str">
        <x:v>moneda igual a USD.</x:v>
      </x:c>
      <x:c r="C7" s="8" t="str">
        <x:v>Enviar a flujo de conversion o tesoreria.</x:v>
      </x:c>
    </x:row>
    <x:row r="8">
      <x:c r="A8" s="6" t="str">
        <x:v>Reportar por centro de costo</x:v>
      </x:c>
      <x:c r="B8" s="7" t="str">
        <x:v>Agrupar valor_neto por centro_costo y categoria.</x:v>
      </x:c>
      <x:c r="C8" s="8" t="str">
        <x:v>Resumen mensual para gerencia.</x:v>
      </x:c>
    </x:row>
    <x:row r="9">
      <x:c r="A9" s="9" t="str">
        <x:v>Auditar diferencias</x:v>
      </x:c>
      <x:c r="B9" s="10" t="str">
        <x:v>estado_conciliacion igual a Diferencia.</x:v>
      </x:c>
      <x:c r="C9" s="11" t="str">
        <x:v>Crear ticket con observaciones y documento_ref.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>
      <x:c r="A1" s="57" t="str">
        <x:v>Resumen del dataset bancario empresarial</x:v>
      </x:c>
      <x:c r="B1" s="58"/>
      <x:c r="C1" s="58"/>
      <x:c r="D1" s="58"/>
      <x:c r="E1" s="58"/>
      <x:c r="F1" s="58"/>
    </x:row>
    <x:row r="3">
      <x:c r="A3" s="3" t="str">
        <x:v>Indicador</x:v>
      </x:c>
      <x:c r="B3" s="5" t="str">
        <x:v>Valor</x:v>
      </x:c>
    </x:row>
    <x:row r="4">
      <x:c r="A4" s="6" t="str">
        <x:v>Transacciones</x:v>
      </x:c>
      <x:c r="B4" s="8" t="n">
        <x:f>COUNTA('Transacciones'!A2:A151)</x:f>
        <x:v>150</x:v>
      </x:c>
    </x:row>
    <x:row r="5">
      <x:c r="A5" s="6" t="str">
        <x:v>Pendientes de revision</x:v>
      </x:c>
      <x:c r="B5" s="8" t="n">
        <x:f>COUNTIF('Transacciones'!AA2:AA151,"Si")</x:f>
        <x:v>84</x:v>
      </x:c>
    </x:row>
    <x:row r="6">
      <x:c r="A6" s="6" t="str">
        <x:v>Conciliadas</x:v>
      </x:c>
      <x:c r="B6" s="8" t="n">
        <x:f>COUNTIF('Transacciones'!U2:U151,"Conciliado")</x:f>
        <x:v>95</x:v>
      </x:c>
    </x:row>
    <x:row r="7">
      <x:c r="A7" s="6" t="str">
        <x:v>Diferencias</x:v>
      </x:c>
      <x:c r="B7" s="8" t="n">
        <x:f>COUNTIF('Transacciones'!U2:U151,"Diferencia")</x:f>
        <x:v>11</x:v>
      </x:c>
    </x:row>
    <x:row r="8">
      <x:c r="A8" s="6" t="str">
        <x:v>Riesgo alto</x:v>
      </x:c>
      <x:c r="B8" s="8" t="n">
        <x:f>COUNTIF('Transacciones'!X2:X151,"Alto")</x:f>
        <x:v>7</x:v>
      </x:c>
    </x:row>
    <x:row r="9">
      <x:c r="A9" s="9" t="str">
        <x:v>Valor neto total</x:v>
      </x:c>
      <x:c r="B9" s="52" t="n">
        <x:f>SUM('Transacciones'!O2:O151)</x:f>
        <x:v>-165197731.94000003</x:v>
      </x:c>
    </x:row>
    <x:row r="11">
      <x:c r="A11" s="53" t="str">
        <x:v>Estado</x:v>
      </x:c>
      <x:c r="B11" s="54" t="str">
        <x:v>Cantidad</x:v>
      </x:c>
      <x:c r="C11" s="54" t="str">
        <x:v>Revision</x:v>
      </x:c>
      <x:c r="D11" s="55" t="str">
        <x:v>Valor neto</x:v>
      </x:c>
    </x:row>
    <x:row r="12">
      <x:c r="A12" s="6" t="str">
        <x:v>Conciliado</x:v>
      </x:c>
      <x:c r="B12" s="7" t="n">
        <x:f>COUNTIF('Transacciones'!U2:U151,A12)</x:f>
        <x:v>95</x:v>
      </x:c>
      <x:c r="C12" s="7" t="n">
        <x:f>COUNTIFS('Transacciones'!U2:U151,A12,'Transacciones'!AA2:AA151,"Si")</x:f>
        <x:v>29</x:v>
      </x:c>
      <x:c r="D12" s="56" t="n">
        <x:f>SUMIF('Transacciones'!U2:U151,A12,'Transacciones'!O2:O151)</x:f>
        <x:v>-91385485.57</x:v>
      </x:c>
    </x:row>
    <x:row r="13">
      <x:c r="A13" s="6" t="str">
        <x:v>Pendiente</x:v>
      </x:c>
      <x:c r="B13" s="7" t="n">
        <x:f>COUNTIF('Transacciones'!U2:U151,A13)</x:f>
        <x:v>33</x:v>
      </x:c>
      <x:c r="C13" s="7" t="n">
        <x:f>COUNTIFS('Transacciones'!U2:U151,A13,'Transacciones'!AA2:AA151,"Si")</x:f>
        <x:v>33</x:v>
      </x:c>
      <x:c r="D13" s="56" t="n">
        <x:f>SUMIF('Transacciones'!U2:U151,A13,'Transacciones'!O2:O151)</x:f>
        <x:v>-27732137.639999997</x:v>
      </x:c>
    </x:row>
    <x:row r="14">
      <x:c r="A14" s="6" t="str">
        <x:v>Diferencia</x:v>
      </x:c>
      <x:c r="B14" s="7" t="n">
        <x:f>COUNTIF('Transacciones'!U2:U151,A14)</x:f>
        <x:v>11</x:v>
      </x:c>
      <x:c r="C14" s="7" t="n">
        <x:f>COUNTIFS('Transacciones'!U2:U151,A14,'Transacciones'!AA2:AA151,"Si")</x:f>
        <x:v>11</x:v>
      </x:c>
      <x:c r="D14" s="56" t="n">
        <x:f>SUMIF('Transacciones'!U2:U151,A14,'Transacciones'!O2:O151)</x:f>
        <x:v>-11819394.119999997</x:v>
      </x:c>
    </x:row>
    <x:row r="15">
      <x:c r="A15" s="6" t="str">
        <x:v>Duplicado</x:v>
      </x:c>
      <x:c r="B15" s="7" t="n">
        <x:f>COUNTIF('Transacciones'!U2:U151,A15)</x:f>
        <x:v>4</x:v>
      </x:c>
      <x:c r="C15" s="7" t="n">
        <x:f>COUNTIFS('Transacciones'!U2:U151,A15,'Transacciones'!AA2:AA151,"Si")</x:f>
        <x:v>4</x:v>
      </x:c>
      <x:c r="D15" s="56" t="n">
        <x:f>SUMIF('Transacciones'!U2:U151,A15,'Transacciones'!O2:O151)</x:f>
        <x:v>-17808115.96</x:v>
      </x:c>
    </x:row>
    <x:row r="16">
      <x:c r="A16" s="9" t="str">
        <x:v>Rechazado</x:v>
      </x:c>
      <x:c r="B16" s="10" t="n">
        <x:f>COUNTIF('Transacciones'!U2:U151,A16)</x:f>
        <x:v>7</x:v>
      </x:c>
      <x:c r="C16" s="10" t="n">
        <x:f>COUNTIFS('Transacciones'!U2:U151,A16,'Transacciones'!AA2:AA151,"Si")</x:f>
        <x:v>7</x:v>
      </x:c>
      <x:c r="D16" s="52" t="n">
        <x:f>SUMIF('Transacciones'!U2:U151,A16,'Transacciones'!O2:O151)</x:f>
        <x:v>-16452598.649999999</x:v>
      </x:c>
    </x:row>
  </x:sheetData>
  <x:mergeCells>
    <x:mergeCell ref="A1:F1"/>
  </x:mergeCells>
  <x:pageMargins left="0.7" right="0.7" top="0.75" bottom="0.75" header="0.3" footer="0.3"/>
</x:worksheet>
</file>